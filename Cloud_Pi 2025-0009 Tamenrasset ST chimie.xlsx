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"/>
  <workbookPr/>
  <bookViews>
    <workbookView xWindow="360" yWindow="30" windowWidth="25755" windowHeight="11595" activeTab="0"/>
  </bookViews>
  <sheets>
    <sheet name="facture" sheetId="1" r:id="rId1"/>
    <sheet name="Sheet2" sheetId="2" r:id="rId2"/>
  </sheets>
  <definedNames/>
  <calcPr calcId="152511"/>
</workbook>
</file>

<file path=xl/sharedStrings.xml><?xml version="1.0" encoding="utf-8"?>
<sst xmlns="http://schemas.openxmlformats.org/spreadsheetml/2006/main" count="1901" uniqueCount="1901">
  <si>
    <t>N°</t>
  </si>
  <si>
    <t>Produit</t>
  </si>
  <si>
    <t>Afficheur 7 segment 4 digit</t>
  </si>
  <si>
    <t>LED a grande angle</t>
  </si>
  <si>
    <t>Led Orange 3mm</t>
  </si>
  <si>
    <t>Led Orange 5mm</t>
  </si>
  <si>
    <t>Fin de course PMn micro-switch 3A-250v"</t>
  </si>
  <si>
    <r>
      <t>Fin de course PM</t>
    </r>
    <r>
      <rPr>
        <vertAlign val="superscript"/>
        <sz val="9"/>
        <color theme="1"/>
        <rFont val="Times New Roman"/>
      </rPr>
      <t>n</t>
    </r>
    <r>
      <rPr>
        <sz val="9"/>
        <color theme="1"/>
        <rFont val="Times New Roman"/>
      </rPr>
      <t xml:space="preserve"> micro-switch 3A-250v"</t>
    </r>
  </si>
  <si>
    <t>Led bleu 10mm</t>
  </si>
  <si>
    <t>Led Jaune 10mm</t>
  </si>
  <si>
    <t>Led Blanche 3mm</t>
  </si>
  <si>
    <t>Led Verte clingniotante 5mm</t>
  </si>
  <si>
    <t>Led Rouge 10mm</t>
  </si>
  <si>
    <t>Led Blanche 5mm</t>
  </si>
  <si>
    <t>Led Rouge 3mm</t>
  </si>
  <si>
    <t>Led Jaune 3mm</t>
  </si>
  <si>
    <t>Potentiometre knob rotary switch cap inner 6mm external 15mm*24mm</t>
  </si>
  <si>
    <t>Led Verte 3mm</t>
  </si>
  <si>
    <t>Relais HK4100F-DC 5V 6Pin 3A</t>
  </si>
  <si>
    <t>Led Jaune 5mm</t>
  </si>
  <si>
    <t>Switch 4 broches tige longue</t>
  </si>
  <si>
    <t>Afficheur 7 segment 1 digit</t>
  </si>
  <si>
    <t>Led Rouge 5mm</t>
  </si>
  <si>
    <t>Led Verte 5mm</t>
  </si>
  <si>
    <t>Led Bleue 5mm</t>
  </si>
  <si>
    <t>Arduino NANO</t>
  </si>
  <si>
    <t>Capteur MQ-135</t>
  </si>
  <si>
    <t>Capteur de force 5 kg</t>
  </si>
  <si>
    <t>Capteur de vibration KY-002</t>
  </si>
  <si>
    <t>Capteur effet Hall KY-003</t>
  </si>
  <si>
    <t>Capteur de tempature CTN KY-013</t>
  </si>
  <si>
    <t>Capteur optique fourche KY-010</t>
  </si>
  <si>
    <t>Module led RGB KY-009</t>
  </si>
  <si>
    <t>Capteur magnique analogique KY-035</t>
  </si>
  <si>
    <t>Capteur inclinaison KY-020</t>
  </si>
  <si>
    <t>P.U.</t>
  </si>
  <si>
    <t>Total partiel:</t>
  </si>
  <si>
    <t>U.</t>
  </si>
  <si>
    <t>UN</t>
  </si>
  <si>
    <t>Qté.</t>
  </si>
  <si>
    <t>Total</t>
  </si>
  <si>
    <t>Capteur magnique Reed KY-021</t>
  </si>
  <si>
    <t>Module photoristance LDR KY-018</t>
  </si>
  <si>
    <t>Capteur de vibratinos/chocs KY-031</t>
  </si>
  <si>
    <t>Capteur obstacles IR KY-032</t>
  </si>
  <si>
    <t>KY-033 Module suiveur de ligne KY-033</t>
  </si>
  <si>
    <t>Capteur de courant ACS712 20A ACS712 20A</t>
  </si>
  <si>
    <t>IR Transmitter &amp; Receiver RX-TX</t>
  </si>
  <si>
    <t>Capteur de courant ACS712 30A ACS712 30A</t>
  </si>
  <si>
    <t>Capteur orientation + Led KY-027</t>
  </si>
  <si>
    <t>Capteur de force 3KG</t>
  </si>
  <si>
    <t>Capteur a effet Hall</t>
  </si>
  <si>
    <t>Hydrogen Gas Sensor Module MQ-8</t>
  </si>
  <si>
    <t>Capteur MQ-3</t>
  </si>
  <si>
    <t>Capteur MQ-4</t>
  </si>
  <si>
    <t>Capteur MQ-5</t>
  </si>
  <si>
    <t>Capteur MQ-6</t>
  </si>
  <si>
    <t>Capteur MQ-7</t>
  </si>
  <si>
    <t>Capteur MQ-8</t>
  </si>
  <si>
    <t>Capteur MQ-9</t>
  </si>
  <si>
    <t>Capteur de force 50 kg</t>
  </si>
  <si>
    <t>Capteur de force 10 kg</t>
  </si>
  <si>
    <t>Alcohol Sensor Module MQ-3</t>
  </si>
  <si>
    <t>Module Capteur gaz CO, CH4, GPL MQ-9</t>
  </si>
  <si>
    <t>Cellule solaire polycristalline 5V 0,15W</t>
  </si>
  <si>
    <t>Cellule solaire polycristalline 6V 1W</t>
  </si>
  <si>
    <t>Stepper Driver L298N</t>
  </si>
  <si>
    <t>LM317 - Regulateur DC-DC rlable</t>
  </si>
  <si>
    <t>Module bluetooth 4,0 AT-09 BLE</t>
  </si>
  <si>
    <t>GY-906 Module capteur de temperature</t>
  </si>
  <si>
    <t>Module GSM / GPRS SIM800L V2,0 5V</t>
  </si>
  <si>
    <t>Capteur inclinaison Module Tilt Commutateur</t>
  </si>
  <si>
    <t>BF350 High Precision Resistance Strain Gauge / Strain Gauge Pressure Sensor / Weighing Sensor 350 ohm</t>
  </si>
  <si>
    <t>Water Quality Sensor TDS Water Quality Testing Probe</t>
  </si>
  <si>
    <t>CJMCU-9930 proximity and non-contact gesture détection attitude sensor APDS-9930</t>
  </si>
  <si>
    <t>Ultrasonic Sensor</t>
  </si>
  <si>
    <t>150nF 100V Polyster Capacitors 2A154J</t>
  </si>
  <si>
    <t>1nF 100V Polyster Capacitors 2A102J</t>
  </si>
  <si>
    <t>0,56nF 100V Polyster Capacitors 2A561J</t>
  </si>
  <si>
    <t>CAPACITE CERAMIQUE 2,7pF 50V</t>
  </si>
  <si>
    <t>0,33nF 100V Plastic Capacitor 2A331J</t>
  </si>
  <si>
    <t>0,47nF 100V Plastic Capacitors 2A471J</t>
  </si>
  <si>
    <t>4,7nF 100V et 5,6nF 250VPolyster Capacitors</t>
  </si>
  <si>
    <t>CAPACITE 33pF/63v</t>
  </si>
  <si>
    <t>0,82nF 100V Polyster Capacitors 2A821J</t>
  </si>
  <si>
    <t>2,9nF 100V Polyster Capacitors 2A392J</t>
  </si>
  <si>
    <t>CAPACITE CERAMIQUE 180pF 50V</t>
  </si>
  <si>
    <t>6,8nF 100V et 250V Polyster Capacitors 2A682J</t>
  </si>
  <si>
    <t xml:space="preserve">15nF 100V et 250V Polyster Capacitors </t>
  </si>
  <si>
    <t>200nF 100V et 250V Polyster Capacitors 2A224J</t>
  </si>
  <si>
    <t>27nF 250V et33nF 100V Polyster Capacitors</t>
  </si>
  <si>
    <t>39nF 100V Polyster Capacitors 2A393J</t>
  </si>
  <si>
    <t>100nF 100V Polyster Capacitors 2A104J</t>
  </si>
  <si>
    <t>470nF 100V Polyster Capacitors 2A474J</t>
  </si>
  <si>
    <t>CAPACITE CERAMIQUE 18pF 50V</t>
  </si>
  <si>
    <t>Capacite ceramique 15Nf</t>
  </si>
  <si>
    <t>CAPACITE CERAMIQUE 1,5nF et 2,2nF 50V</t>
  </si>
  <si>
    <t>CAPACITE CERAMIQUE 100pF 50V</t>
  </si>
  <si>
    <t>CAPACITE CERAMIQUE 120pF 50V</t>
  </si>
  <si>
    <t>CAPACITE CERAMIQUE 20pF 50V</t>
  </si>
  <si>
    <t>Capacite ceramique 1,2nF</t>
  </si>
  <si>
    <t>CAPACITE CERAMIQUE 4,7pF 50V</t>
  </si>
  <si>
    <t>Capacite ceramique 1,5 nF 35V</t>
  </si>
  <si>
    <t>CAPACITE CERAMIQUE 150pF 50V</t>
  </si>
  <si>
    <t>CAPACITE CERAMIQUE 5pF</t>
  </si>
  <si>
    <t>CAPACITE CERAMIQUE 5,6pF 50V</t>
  </si>
  <si>
    <t>CAPACITE CERAMIQUE 1pF</t>
  </si>
  <si>
    <t>CAPACITE CERAMIQUE 15pF 50V</t>
  </si>
  <si>
    <t>CAPACITE CERAMIQUE 10nF 63V</t>
  </si>
  <si>
    <t>CAPACITE CERAMIQUE 3,9pF 50V</t>
  </si>
  <si>
    <t>CAPACITE CERAMIQUE 12pF 50V</t>
  </si>
  <si>
    <t>CAPACITE CERAMIQUE 22pF 50V</t>
  </si>
  <si>
    <t>CAPACITE CERAMIQUE 10nF 50V</t>
  </si>
  <si>
    <t>CAPACITE CERAMIQUE 4,7nF 50V</t>
  </si>
  <si>
    <t>CAPACITE CERAMIQUE 7pF 50V</t>
  </si>
  <si>
    <t>CAPACITE CERAMIQUE 1nf/63V</t>
  </si>
  <si>
    <t>CAPACITE CERAMIQUE 1nF 50V</t>
  </si>
  <si>
    <t>Capacite ceramique 10nF 35V</t>
  </si>
  <si>
    <t>CAPACITE CERAMIQUE 3,3nF 50V</t>
  </si>
  <si>
    <t>CAPACITE CERAMIQUE 33nF</t>
  </si>
  <si>
    <t>Capacite ceramique 820pF</t>
  </si>
  <si>
    <t>CAPACITE CERAMIQUE 8,2pF 50V</t>
  </si>
  <si>
    <t>CAPACITE CHIMIQUE 1000 micro F/160v</t>
  </si>
  <si>
    <t>CAPACITE CERAMIQUE 6pF et 6,8pF 50V</t>
  </si>
  <si>
    <t>Capacite ceramique 22nF</t>
  </si>
  <si>
    <t>CAPACITE CERAMIQUE 56pF 50V</t>
  </si>
  <si>
    <t>CAPACITE CERAMIQUE 680pF 50V</t>
  </si>
  <si>
    <t>Capacite ceramique 4,7nF 35V</t>
  </si>
  <si>
    <t>CAPACITE CERAMIQUE 2pF et 2,3pF 50V</t>
  </si>
  <si>
    <t>CAPACITE CERAMIQUE 82pF et 88pF 50V</t>
  </si>
  <si>
    <t>CAPACITE CERAMIQUE 68pF et 75pF 50V</t>
  </si>
  <si>
    <t>CAPACITE CERAMIQUE  4,7P 63 V</t>
  </si>
  <si>
    <t>CAPACITE CERAMIQUE  47pF</t>
  </si>
  <si>
    <t>CAPACITE CERAMIQUE  33pF 50V</t>
  </si>
  <si>
    <t>CAPACITE CHIMIQUE 10 micro F/160v</t>
  </si>
  <si>
    <t>Capacite ceramique 3,3nF 35V</t>
  </si>
  <si>
    <t>CAPACITE CHIMIQUE 1,6 micro F/400v</t>
  </si>
  <si>
    <t>CAPACITE CERAMIQUE  470P 50V</t>
  </si>
  <si>
    <t>CAPACITE CHIMIQUE 2,2 micro F/50v</t>
  </si>
  <si>
    <t>CAPACITE CHIMIQUE 0,22 micro F/50v</t>
  </si>
  <si>
    <t>CAPACITE CERAMIQUE  47nF et 68nF</t>
  </si>
  <si>
    <t>CAPACITE CERAMIQUE  22nF</t>
  </si>
  <si>
    <t>CAPACITE CERAMIQUE  3,3pF</t>
  </si>
  <si>
    <t>CAPACITE CHIMIQUE 100 micro F/16v</t>
  </si>
  <si>
    <t>CAPACITE CHIMIQUE 22000 micro F/25v</t>
  </si>
  <si>
    <t>CAPACITE CHIMIQUE 150 micro /16v</t>
  </si>
  <si>
    <t>CAPACITE CHIMIQUE 3300 micro F 16v</t>
  </si>
  <si>
    <t>CAPACITE CHIMIQUE 3,3  micro F 50V</t>
  </si>
  <si>
    <t>CAPACITE CHIMIQUE 4,7  micro F/50V</t>
  </si>
  <si>
    <t>CAPACITE CHIMIQUE 10  micro F 250V</t>
  </si>
  <si>
    <t>CAPACITE CHIMIQUE 1500  micro F/6,3v</t>
  </si>
  <si>
    <t>CAPACITE CHIMIQUE 2200  micro F/35v</t>
  </si>
  <si>
    <t>CAPACITE CHIMIQUE 330  micro F/16v</t>
  </si>
  <si>
    <t>CAPACITE CHIMIQUE 220  micro F/25v</t>
  </si>
  <si>
    <t>CAPACITE CHIMIQUE 22  micro F/100v</t>
  </si>
  <si>
    <t>CAPACITE CHIMIQUE 10  micro F/400v</t>
  </si>
  <si>
    <t>CAPACITE CHIMIQUE 22  micro F 25V</t>
  </si>
  <si>
    <t>CAPACITE CHIMIQUE 150  micro F/160v</t>
  </si>
  <si>
    <t>CAPACITE CHIMIQUE 33  micro F 25V</t>
  </si>
  <si>
    <t>CAPACITE CHIMIQUE 330  micro F/400v</t>
  </si>
  <si>
    <t>CAPACITE CHIMIQUE 220  micro F/16v</t>
  </si>
  <si>
    <t>CAPACITE CHIMIQUE 2200  micro F/160v</t>
  </si>
  <si>
    <t>CAPACITE CHIMIQUE 47  micro F/100V</t>
  </si>
  <si>
    <t>CAPACITE CHIMIQUE 47  micro F 25V</t>
  </si>
  <si>
    <t>CAPACITE CHIMIQUE 6800  micro F/6,3V</t>
  </si>
  <si>
    <t>CAPACITE CHIMIQUE 3300  micro F/6,3V</t>
  </si>
  <si>
    <t>CAPACITE PLASTIQUE 180nf/250v</t>
  </si>
  <si>
    <t>Capacite chimique 100 microF 40V</t>
  </si>
  <si>
    <t>CAPACITE CHIMIQUE 1000  micro F /25V</t>
  </si>
  <si>
    <t>CAPACITE CHIMIQUE 2200  micro F /25V</t>
  </si>
  <si>
    <t>CAPACITE CHIMIQUE 680  micro F /25V</t>
  </si>
  <si>
    <t>CAPACITE PLASTIQUE 220nf/250v</t>
  </si>
  <si>
    <t>Capacite plastique 0,15 microF 250V</t>
  </si>
  <si>
    <t>CAPACITE PLASTIQUE 56nF 250V et 100nf/63v</t>
  </si>
  <si>
    <t>CAPACITE CHIMIQUE 4700  micro F/35V</t>
  </si>
  <si>
    <t>CAPACITE CHIMIQUE 4700  micro F/6,3V</t>
  </si>
  <si>
    <t>CAPACITE CHIMIQUE 6800  micro F/63V</t>
  </si>
  <si>
    <t>CAPACITE CHIMIQUE 560  micro F/160V</t>
  </si>
  <si>
    <t>CAPACITE CHIMIQUE 82  micro F/450V</t>
  </si>
  <si>
    <t>CAPACITE CHIMIQUE 4,7  micro F/400V</t>
  </si>
  <si>
    <t>CAPACITE CHIMIQUE 3300  micro F/160V</t>
  </si>
  <si>
    <t>Capacite Chimique 470 micro F 40V</t>
  </si>
  <si>
    <t>CAPACITE CHIMIQUE 470  micro F/450V</t>
  </si>
  <si>
    <t>Capacite plastique 0,22 micro F 250V</t>
  </si>
  <si>
    <t>Capacite plastique 0,1 micro F 250V</t>
  </si>
  <si>
    <t>CAPACITE PLASTIQUE 15nf/63v</t>
  </si>
  <si>
    <t>Capacite plastique 0,47 micro F 250V</t>
  </si>
  <si>
    <t>CAPACITE PLASTIQUE 220nf/63v</t>
  </si>
  <si>
    <t>CAPACITE TANTALE 0,47 micro /35v</t>
  </si>
  <si>
    <t>Capacite plastique 1000 NF 100V</t>
  </si>
  <si>
    <t>Capacite plastique 0,33 microF 250V</t>
  </si>
  <si>
    <t>CAPACITE TANTALE 1 micro F/40v</t>
  </si>
  <si>
    <t>CAPACITE TANTALE 10 micro F 35v</t>
  </si>
  <si>
    <t>CAPACITE TANTALE 4,7 micro F/25v</t>
  </si>
  <si>
    <t>CAPACITE PLASTIQUE 22nf/100v 2A 223J</t>
  </si>
  <si>
    <t>CAPACITE TANTALE 3,3 micro F/40v</t>
  </si>
  <si>
    <t>Capacite chimique 4700 micro F 63V</t>
  </si>
  <si>
    <t>CAPACITE CHIMIQUE 470  micro F/25V</t>
  </si>
  <si>
    <t>CAPACITE CHIMIQUE 47  micro F 16V</t>
  </si>
  <si>
    <t>CAPACITE TANTALE 10 micro F  10V et 25V</t>
  </si>
  <si>
    <t>Capacite plastique 3,3 micro F 250V</t>
  </si>
  <si>
    <t>CAPACITE TANTALE 2,2 micro F/16v</t>
  </si>
  <si>
    <t>Capacite plastique 1?F 250V</t>
  </si>
  <si>
    <t>CAPACITE TANTALE 10 micro F/16v</t>
  </si>
  <si>
    <t>CAPACITE PLASTIQUE 10nf/1250v</t>
  </si>
  <si>
    <t>CAPACITE TANTALE 22 micro F 16V</t>
  </si>
  <si>
    <t>CAPACITE PLASTIQUE 47nf/250v</t>
  </si>
  <si>
    <t>Capacite plastique 0,33 micro F 100V</t>
  </si>
  <si>
    <t>Capacite plastique 0,47 micro F</t>
  </si>
  <si>
    <t>Capacite plastique 4,7 micro F 250V</t>
  </si>
  <si>
    <t>CAPACITE TANTALE 0,1 micro 35V</t>
  </si>
  <si>
    <t>CAPACITE PLASTIQUE 100nf/2000v</t>
  </si>
  <si>
    <t>CAPACITE TANTALE 1,5 micro F/40V</t>
  </si>
  <si>
    <t>CAPACITE TANTALE 4,7 micro 35V</t>
  </si>
  <si>
    <t>Capacite Variable 10-40 pf</t>
  </si>
  <si>
    <t>CAPACITE TANTALE 47 micro F 6,3V et 10V</t>
  </si>
  <si>
    <t>CAPACITE CHIMIQUE 1500  micro F/10v</t>
  </si>
  <si>
    <t>CAPACITE CHIMIQUE 220  micro F/10v</t>
  </si>
  <si>
    <t>Capacite ceramique 2,2nF 35V</t>
  </si>
  <si>
    <t>CAPACITE PLASTIQUE 4,7nf/250v</t>
  </si>
  <si>
    <t>39nF 250V et 47nF 100V Polyster Capacitors 2A4773J</t>
  </si>
  <si>
    <t>CAPACITE PLASTIQUE 1 micro F/275v</t>
  </si>
  <si>
    <t>CAPACITE CHIMIQUE 22  micro F/250V</t>
  </si>
  <si>
    <t>CAPACITE CERAMIQUE 220pF 50V</t>
  </si>
  <si>
    <t>CAPACITE CHIMIQUE 1  micro f/50V</t>
  </si>
  <si>
    <t>Capacite plastique 0,56 micro F 250V</t>
  </si>
  <si>
    <t>CAPACITE CHIMIQUE 1500  micro F /16V</t>
  </si>
  <si>
    <t>CAPACITE CHIMIQUE 100  micro F /100V</t>
  </si>
  <si>
    <t>CAPACITE PLASTIQUE 18nF 250V et 22nf/63v</t>
  </si>
  <si>
    <t>CAPACITE CHIMIQUE 39  microF /450v(LCD)</t>
  </si>
  <si>
    <t>CAPACITE CERAMIQUE 100pF 63V</t>
  </si>
  <si>
    <t>CAPACITE CHIMIQUE 470  micro F /16V</t>
  </si>
  <si>
    <t>CAPACITE CHIMIQUE 1000  micro F/16V</t>
  </si>
  <si>
    <t>10nF 100V et 8,2nF 250V Polyster Capacitors 2A103J</t>
  </si>
  <si>
    <t>CONDENSATEUR 220 MICRO F 250V</t>
  </si>
  <si>
    <t>CAPACITE CERAMIQUE 100nF 50V</t>
  </si>
  <si>
    <t>CAPACITE TANTALE 2,2 micro F 35V</t>
  </si>
  <si>
    <t>CAPACITE CHIMIQUE 0,47  micro F</t>
  </si>
  <si>
    <t>Capacite plastique 2,2 microF 250V</t>
  </si>
  <si>
    <t>CAPACITE CERAMIQUE 330pF 50V</t>
  </si>
  <si>
    <t>CAPACITE CHIMIQUE 33  micro F 16V</t>
  </si>
  <si>
    <t>CAPACITE CHIMIQUE 1000  micro F/35V</t>
  </si>
  <si>
    <t>CAPACITE CERAMIQUE 10pf/100v</t>
  </si>
  <si>
    <t>CAPACITE CERAMIQUE 270pF 50V</t>
  </si>
  <si>
    <t>CAPACITE CERAMIQUE 30pF 50V</t>
  </si>
  <si>
    <t>CAPACITE CERAMIQUE 220pF 63V</t>
  </si>
  <si>
    <t>CAPACITE CERAMIQUE 39pF 50V</t>
  </si>
  <si>
    <t>CAPACITE CHIMIQUE 47  micro F/50V</t>
  </si>
  <si>
    <t>CAPACITE CHIMIQUE 680  micro F/ 35V</t>
  </si>
  <si>
    <t>CAPACITE CHIMIQUE 1000  micro F/6,3v</t>
  </si>
  <si>
    <t>Emetteur recepteur TCRT5000</t>
  </si>
  <si>
    <t>Phototransistor BPX43</t>
  </si>
  <si>
    <t>Photodiode BPW34</t>
  </si>
  <si>
    <t>CAPTEUR de temperature DS18B18</t>
  </si>
  <si>
    <t>CAPTEUR A EFFET HALL HONEYWELL SS 41 BIPOLAIRE</t>
  </si>
  <si>
    <t>CAPTEUR A EFFET HALL HONEYWELL SS 41 BIPOLAIRELed Capteur de flamme</t>
  </si>
  <si>
    <t>Led Emetrice</t>
  </si>
  <si>
    <t>IR receptricce GM KEC168</t>
  </si>
  <si>
    <t>IR receptricce PM FRP5522H12</t>
  </si>
  <si>
    <t>Capteur a fourche EE-SX398</t>
  </si>
  <si>
    <t>Capteur Recepteur infrarouge Metal</t>
  </si>
  <si>
    <t>CAPTEUR de temperature LM35Z</t>
  </si>
  <si>
    <t>Photoresistance LDR 5mm</t>
  </si>
  <si>
    <t>Amplificateur opeationnel LM324</t>
  </si>
  <si>
    <t>Amplificateur Operationnel TL074</t>
  </si>
  <si>
    <t>Bascule 74LS73</t>
  </si>
  <si>
    <t>74LS03</t>
  </si>
  <si>
    <t>Amplificateur Opeationnel TL084</t>
  </si>
  <si>
    <t>Amplificateur opationnel LM386D</t>
  </si>
  <si>
    <t>74HC86</t>
  </si>
  <si>
    <t>Amplificateur Operationnel TL082</t>
  </si>
  <si>
    <t>BUFFER GATE 74LS17</t>
  </si>
  <si>
    <t>Digital electronic AND GATE 74LS21</t>
  </si>
  <si>
    <t>Digital electronic AND GATE 74LS11</t>
  </si>
  <si>
    <t>DECODEUR (BCD TO DECIMAL) (7SEGMENT ANOD) 74LS47</t>
  </si>
  <si>
    <t>DEMULTIPLEXER 74LS138</t>
  </si>
  <si>
    <t>DECODEUR 74S138</t>
  </si>
  <si>
    <t>DEMULTIPLEXER 74LS139</t>
  </si>
  <si>
    <t>DECODEUR 74LS154</t>
  </si>
  <si>
    <t>BUFFER GATE 74LS244</t>
  </si>
  <si>
    <t>BUFFER GATE 74LS245</t>
  </si>
  <si>
    <t>Digital electronic OR GATE 74HC32N E-74LS32</t>
  </si>
  <si>
    <t>Digital electronic 4 NAND GATE SN74HC03</t>
  </si>
  <si>
    <t>Convertisseur analogique- num?rique ADC0809</t>
  </si>
  <si>
    <t>DEMULTIPLEXER 74LS158</t>
  </si>
  <si>
    <t>BUFFER GATE CD4050</t>
  </si>
  <si>
    <t>Digital electronic NOT GATE CD4069</t>
  </si>
  <si>
    <t>Amplificateur operationnel LM741</t>
  </si>
  <si>
    <t>Amplificateur opationnel LM1458</t>
  </si>
  <si>
    <t>Digital electronic AND GATE CD4073</t>
  </si>
  <si>
    <t>CD4082 Digital electronic AND GATE</t>
  </si>
  <si>
    <t>DM7485</t>
  </si>
  <si>
    <t>IR2104 Half Bridge Driver IC</t>
  </si>
  <si>
    <t>Digital electronic OR GATE CD4075</t>
  </si>
  <si>
    <t>DM7407N</t>
  </si>
  <si>
    <t>IR2111 Half Bridge Driver IC</t>
  </si>
  <si>
    <t>DM74192N</t>
  </si>
  <si>
    <t>DM7475N</t>
  </si>
  <si>
    <t>DM7490</t>
  </si>
  <si>
    <t>DM7476</t>
  </si>
  <si>
    <t>DM 7426</t>
  </si>
  <si>
    <t>DM7483</t>
  </si>
  <si>
    <t>DM74123N</t>
  </si>
  <si>
    <t>Digital electronic OR GATE CD4072</t>
  </si>
  <si>
    <t>Digital electronic OR GATE CD4071</t>
  </si>
  <si>
    <t>DM7474N</t>
  </si>
  <si>
    <t>LM747CN</t>
  </si>
  <si>
    <t>LM709CH amplificateur operationnel</t>
  </si>
  <si>
    <t>LM709</t>
  </si>
  <si>
    <t>LM7809 Voltage rulateur linire Positive</t>
  </si>
  <si>
    <t>LM7915</t>
  </si>
  <si>
    <t>LM393</t>
  </si>
  <si>
    <t>LM7912 Voltage rulateur linire Native</t>
  </si>
  <si>
    <t>LM7909 Voltage rulateur linire Native</t>
  </si>
  <si>
    <t>LM305H regulateur de tension lineaire</t>
  </si>
  <si>
    <t>LM7815 Voltage regulateur lineaire Positive</t>
  </si>
  <si>
    <t>LM308H amplificateur operationnel</t>
  </si>
  <si>
    <t>NAND GATE 74LS20</t>
  </si>
  <si>
    <t>NAND GATE 74LS30</t>
  </si>
  <si>
    <t>MULTIPLEXER 74LS151</t>
  </si>
  <si>
    <t>NAND GATE 74LS10</t>
  </si>
  <si>
    <t>NOR GATE 74HC02N E 74LS02</t>
  </si>
  <si>
    <t>NOR GATE CD4002</t>
  </si>
  <si>
    <t>NAND GATE CD4012</t>
  </si>
  <si>
    <t>NAND GATE CD4023</t>
  </si>
  <si>
    <t>NOR GATE CD4025</t>
  </si>
  <si>
    <t>74HC32</t>
  </si>
  <si>
    <t>CD4093 CMOS NAND</t>
  </si>
  <si>
    <t>50N60 IGBT 50A 600V (TO-247)</t>
  </si>
  <si>
    <t>KTB817, PNP (TO-3P)</t>
  </si>
  <si>
    <t>80N70F N-channel 85A-68V (TO-220)</t>
  </si>
  <si>
    <t>LM304H Regulateurs de tension linaires Texas instruments</t>
  </si>
  <si>
    <t>Quartz 12Mhz</t>
  </si>
  <si>
    <t>FGH80N60 IGBT 80A 600V TO-3P</t>
  </si>
  <si>
    <t>2SK3878 (TO-3PN) MOSFET</t>
  </si>
  <si>
    <t>BT136-600 (600V/4A) TO-220AB TRIAC</t>
  </si>
  <si>
    <t>BTB12-600 (600V/12A) (TO-220AB) TRIAC</t>
  </si>
  <si>
    <t>P75NF75 N-channel 80A 75V (TO-220M) Mosfet</t>
  </si>
  <si>
    <t>STP110N8F6 N-channel 110A 80V (TO-220) Mosfet</t>
  </si>
  <si>
    <t>Q6016LH6 (600V/16A) Alternistor (TO-220) TRIAC</t>
  </si>
  <si>
    <t>LM555 (DIP-8)</t>
  </si>
  <si>
    <t>L293 Push-Pull 4-Channel Driver IC (L293D)</t>
  </si>
  <si>
    <t>IR2113 High and Low Side Driver IC</t>
  </si>
  <si>
    <t>Amplificateur Operationnel TL081</t>
  </si>
  <si>
    <t>Amplificateur operationnel LM339</t>
  </si>
  <si>
    <t>Régulateur de référence de tension TL431A</t>
  </si>
  <si>
    <t>LM7824 Voltage rulateur linire Positive</t>
  </si>
  <si>
    <t>LM7812 Voltage regulateur lineaire Positive</t>
  </si>
  <si>
    <t>Convertisseur ICL76660S</t>
  </si>
  <si>
    <t>Darlington ULN2004A SMD</t>
  </si>
  <si>
    <t>Darlington ULN2003A SMD</t>
  </si>
  <si>
    <t>Amplificateur operationnel LM386</t>
  </si>
  <si>
    <t>2SD1047 NPN (TO-3P)</t>
  </si>
  <si>
    <t>NE555P oscillateur timer</t>
  </si>
  <si>
    <t>regulateur LM317T</t>
  </si>
  <si>
    <t>L6203 Full Bridge Driver IC</t>
  </si>
  <si>
    <t>LM7805 Voltage regulateur lineaire Positive</t>
  </si>
  <si>
    <t>Amplificateur Operationnel LM7924</t>
  </si>
  <si>
    <t>REGULATEUR LD33CV 3,3V</t>
  </si>
  <si>
    <t>RELAIS 30A 12V</t>
  </si>
  <si>
    <t>LF357</t>
  </si>
  <si>
    <t>POTENTIOMETRE 2K 1/2W</t>
  </si>
  <si>
    <t>B125 C1000 pont redresseur</t>
  </si>
  <si>
    <t>2N5570 TRIAC 10A/400V</t>
  </si>
  <si>
    <t>DB104G 1A 400V Bridge Rectifier</t>
  </si>
  <si>
    <t>BZX79 5,6V 500mW et BZX55C 5,6 Zener Diode</t>
  </si>
  <si>
    <t>BZX79 5,1 500mW Zener Diode</t>
  </si>
  <si>
    <t>BZX79 8,2 500mW et BZX85C et BSX55C 8,2V Zener Diode</t>
  </si>
  <si>
    <t>BZX79-13V 500mW Zener Diode</t>
  </si>
  <si>
    <t>BZX79 12V 500mW Zener Diode</t>
  </si>
  <si>
    <t>BZX79 15V 500mW et BZX85C 15V BZX45 15V Zener Diode</t>
  </si>
  <si>
    <t>BZX79 18V 500mW Et BZX79C 24V Zener Diode</t>
  </si>
  <si>
    <t>DF04M 400V 1A F,W, Bridge Rectifier</t>
  </si>
  <si>
    <t>DIODE ZENER 7,5V</t>
  </si>
  <si>
    <t>DIODE ZENER 2,7V</t>
  </si>
  <si>
    <t>DIODE ZENER 3,3V</t>
  </si>
  <si>
    <t>DIODE ZENER  56V</t>
  </si>
  <si>
    <t>DIODE ZENER 39V</t>
  </si>
  <si>
    <t>DIODE ZENER 43V</t>
  </si>
  <si>
    <t>DIODE ZENER 36V</t>
  </si>
  <si>
    <t>DIODE ZENER 30V</t>
  </si>
  <si>
    <t>DIODE ZENER 33V</t>
  </si>
  <si>
    <t>DIODE ZENER 20V</t>
  </si>
  <si>
    <t>DIODE ZENER 6,2V</t>
  </si>
  <si>
    <t>DIODE ZENER 3,6</t>
  </si>
  <si>
    <t>BAV20 200V 0,25A General Purpose Diode</t>
  </si>
  <si>
    <t>MBR20100G Shottky Barrier Diode</t>
  </si>
  <si>
    <t>1N4737 7,5 1W Zener Diode</t>
  </si>
  <si>
    <t>BZY95C12 12 Volt zener diode</t>
  </si>
  <si>
    <t>1N4736 6,8V 1W Zener Diode</t>
  </si>
  <si>
    <t>1N4728 3,3V 1W Zener Diode</t>
  </si>
  <si>
    <t>1N4007 1000V 1A General Purpose Diode</t>
  </si>
  <si>
    <t>KBL08 Bridge Rectifier</t>
  </si>
  <si>
    <t>CAPACITE CHIMIQUE 220 MICRO F 35V</t>
  </si>
  <si>
    <t>1N34A Germanium Diode</t>
  </si>
  <si>
    <t>1N4004 400V 1A General Purpose Diode</t>
  </si>
  <si>
    <t>DIODE ZENER 5,6</t>
  </si>
  <si>
    <t>Fusible Ceramique 250V ?6x30mm 10A</t>
  </si>
  <si>
    <t>Fusible Fast 250V ?6,3X32mm 63mA</t>
  </si>
  <si>
    <t>Fusible Fast ?5,2X20mm 250V 10A</t>
  </si>
  <si>
    <t>Fusible Ceramique 250V ?6x30mm 5A</t>
  </si>
  <si>
    <t>Fusible Ceramique 250V ?6x30mm 8A</t>
  </si>
  <si>
    <t>Fusible ceramique 8,5*31,5 10A</t>
  </si>
  <si>
    <t>Fusible fast 10A 250V</t>
  </si>
  <si>
    <t>Fusible thermique 10A/250V 250?C</t>
  </si>
  <si>
    <t>Fusible 5x20mm 2A 250V</t>
  </si>
  <si>
    <t>Fusible Fast ?5X20mm 250V 6A</t>
  </si>
  <si>
    <t>Resistance 1/2W 1,2M ohm</t>
  </si>
  <si>
    <t>Resistance 1/2W 150K ohm</t>
  </si>
  <si>
    <t>Potentiometre 1/2W 1K</t>
  </si>
  <si>
    <t>Resistance 1/2W 15K ohm</t>
  </si>
  <si>
    <t>Ristance 1/2W 1,2 ohm</t>
  </si>
  <si>
    <t>Resistance 1/2W 10M ohm</t>
  </si>
  <si>
    <t>Resistance 1/2W 140M ohm</t>
  </si>
  <si>
    <t>Resistance 1/2W 16M ohm</t>
  </si>
  <si>
    <t>Resistance 1/2W 15M ohm</t>
  </si>
  <si>
    <t>Resistance 1/2W 1 ohm</t>
  </si>
  <si>
    <t>Resistance 1/2W 1,8 ohm</t>
  </si>
  <si>
    <t>Resistance 1/2W 15 ohm</t>
  </si>
  <si>
    <t>Resistance 1/2W 18 ohm</t>
  </si>
  <si>
    <t>Resistance 1/2W 1,5K ohm</t>
  </si>
  <si>
    <t>Resistance 1/2W 12M ohm</t>
  </si>
  <si>
    <t>Resistance 1/2W 12K ohm</t>
  </si>
  <si>
    <t>Resistance 1/2W 12 ohm</t>
  </si>
  <si>
    <t>Resistance 1/2W 10 ohm</t>
  </si>
  <si>
    <t>Resistance 4W 5W 7W 10W 4,7 ohm</t>
  </si>
  <si>
    <t>Resistance 4W 5W 7W 10W 22 ohm</t>
  </si>
  <si>
    <t>Resistance 1/2W 3,9K ohm</t>
  </si>
  <si>
    <t>Resistance 1/2W 300K ohm 390K ohm</t>
  </si>
  <si>
    <t>Resistance 1/2W 3,3 ohm</t>
  </si>
  <si>
    <t>Resistance 1/2W 5,6 ohm</t>
  </si>
  <si>
    <t>Resistance 1/2W 22ohm</t>
  </si>
  <si>
    <t>Resistance 1/2W 100 ohm</t>
  </si>
  <si>
    <t>Resistance 1/2W 1,2K ohm</t>
  </si>
  <si>
    <t>Resistance 1/2W 27 ohm</t>
  </si>
  <si>
    <t>Resistance 1/2W 33 ohm</t>
  </si>
  <si>
    <t>Resistance 1/2W 39 ohm</t>
  </si>
  <si>
    <t>Resistance 1/2W 47 ohm</t>
  </si>
  <si>
    <t>Resistance 1/2W 220 ohm</t>
  </si>
  <si>
    <t>Resistance 1/2W 390 ohm</t>
  </si>
  <si>
    <t>Resistance 1/2W 470 ohm</t>
  </si>
  <si>
    <t>Resistance 1/2W 4,7K ohm</t>
  </si>
  <si>
    <t>Resistance 1/2W 4,7M ohm</t>
  </si>
  <si>
    <t>Resistance 1/2W 27K ohm</t>
  </si>
  <si>
    <t>Resistance 1/2W 330K ohm</t>
  </si>
  <si>
    <t>Resistance 1/2W 470K ohm</t>
  </si>
  <si>
    <t>Resistance 1/2W 2,9 ohm</t>
  </si>
  <si>
    <t>Resistance 1/2W 3,3M ohm</t>
  </si>
  <si>
    <t>Resistance 1/2W 6,8K ohm</t>
  </si>
  <si>
    <t>Resistance 1/4W 100 ohm</t>
  </si>
  <si>
    <t>Resistance 1/4W 270 ohm</t>
  </si>
  <si>
    <t>Resistance 1/2W 68 k ohm</t>
  </si>
  <si>
    <t>Resistance 1/2W 560 ohm</t>
  </si>
  <si>
    <t>Resistance 1/4W 1,5K OHM</t>
  </si>
  <si>
    <t>Résistance 1/2W 820 ohm</t>
  </si>
  <si>
    <t>Resistance 1/2W 2K et 2,2K ohm</t>
  </si>
  <si>
    <t>Resistance 1/4W 10 ohm</t>
  </si>
  <si>
    <t>Résistance 1/2W 2,7K ohm</t>
  </si>
  <si>
    <t>Resistance 1/2W 18K ohm</t>
  </si>
  <si>
    <t>Resistance 1/2W 3k et 3,3K ohm</t>
  </si>
  <si>
    <t>Resistance 1/2W 220K ohm</t>
  </si>
  <si>
    <t>Resistance 1/2W 680 ohm</t>
  </si>
  <si>
    <t>Resistance 1/2W 6,8M ohm</t>
  </si>
  <si>
    <t>Resistance 1/4W 1,8 ohm</t>
  </si>
  <si>
    <t>Resistance 1/4W 1,3k ohm</t>
  </si>
  <si>
    <t>Resistance 1/4W 1,8k ohm</t>
  </si>
  <si>
    <t>Resistance 1/4W 1,2 ohm</t>
  </si>
  <si>
    <t>Resistance 1/2W 8,2M ohm</t>
  </si>
  <si>
    <t>Resistance 1/4W 1,5 ohm</t>
  </si>
  <si>
    <t>Resistance 1/4W 1,5M ohm</t>
  </si>
  <si>
    <t>Resistance 1/4W 18M ohm</t>
  </si>
  <si>
    <t>Resistance 1/2W 8,2 ohm</t>
  </si>
  <si>
    <t>Resistance 1/2W 6,8 ohm</t>
  </si>
  <si>
    <t>Resistance 1/2W 56 ohm</t>
  </si>
  <si>
    <t>Resistance 1/2W 75 ohm 82 ohm</t>
  </si>
  <si>
    <t>Resistance 1/2W 68 ohm</t>
  </si>
  <si>
    <t>Resistance 1/2W 8,2K ohm</t>
  </si>
  <si>
    <t>Resistance 1/2W 56K ohm</t>
  </si>
  <si>
    <t>Resistance 1/2W 560K ohm</t>
  </si>
  <si>
    <t>Resistance 1/2W 680K ohm</t>
  </si>
  <si>
    <t>Resistance 1/2W 820K ohm</t>
  </si>
  <si>
    <t>Resistance 1/4W 150K OHM</t>
  </si>
  <si>
    <t>Resistance 1/4W 150 ohm</t>
  </si>
  <si>
    <t>Resistance 1/4W 3,9kohm</t>
  </si>
  <si>
    <t>Resistance 1/4W 18 ohm</t>
  </si>
  <si>
    <t>Resistance 1/4W 17,8K OHM</t>
  </si>
  <si>
    <t>Resistance 1/4W 180 ohm</t>
  </si>
  <si>
    <t>Resistance 1/4W 1K OHM</t>
  </si>
  <si>
    <t>Resistance 1/4W 27k ohm</t>
  </si>
  <si>
    <t>Resistance 1/4W 15k OHM</t>
  </si>
  <si>
    <t>Resistance 1/4W 100k OHM</t>
  </si>
  <si>
    <t>Resistance 1/4W 3,3M OHM</t>
  </si>
  <si>
    <t>Resistance 1/4W 3,3 ohm</t>
  </si>
  <si>
    <t>Resistance 1/4W 15 ohm</t>
  </si>
  <si>
    <t>Resistance 1/4W 12 ohm</t>
  </si>
  <si>
    <t>Resistance 1/4W 22 ohm</t>
  </si>
  <si>
    <t>Resistance 1/4W 39 ohm</t>
  </si>
  <si>
    <t>Resistance 1/4W 33 ohm</t>
  </si>
  <si>
    <t>Resistance 1/4W 120 ohm</t>
  </si>
  <si>
    <t>Resistance 1/4W 120K OHM</t>
  </si>
  <si>
    <t>Resistance 1/4W 220k ohm</t>
  </si>
  <si>
    <t>Resistance 1/4W 330k ohm et 300K ohm</t>
  </si>
  <si>
    <t>Resistance 1/4W 2,2 ohm</t>
  </si>
  <si>
    <t>Resistance 1/4W 3,9M ohm</t>
  </si>
  <si>
    <t>Resistance 1/4W 10M ohm</t>
  </si>
  <si>
    <t>Resistance 1/4W 680 ohm</t>
  </si>
  <si>
    <t>Resistance 1/4W 56 ohm</t>
  </si>
  <si>
    <t>Resistance 1/4W 560k ohm</t>
  </si>
  <si>
    <t>Resistance 1/4W 6,8k ohm</t>
  </si>
  <si>
    <t>Resistance 1/4W 5,6 ohm</t>
  </si>
  <si>
    <t>Resistance 1/4W 56k ohm</t>
  </si>
  <si>
    <t>Resistance 1/6W 12k ohm</t>
  </si>
  <si>
    <t>Resistance 1/4W 91K OHM</t>
  </si>
  <si>
    <t>Resistance 1W 2W 3W 150 ohm</t>
  </si>
  <si>
    <t>Resistance 1/4W 6,8 ohm</t>
  </si>
  <si>
    <t>Resistance 1/4W 430k ohm</t>
  </si>
  <si>
    <t>Resistance 1/4W 82K OHM</t>
  </si>
  <si>
    <t>Resistance 1/4W 820 ohm</t>
  </si>
  <si>
    <t>Resistance 1/4W 1M ohm</t>
  </si>
  <si>
    <t>Resistance 1/4W 470 ohm</t>
  </si>
  <si>
    <t>Resistance 1/4W 8,2 ohm</t>
  </si>
  <si>
    <t>Resistance 1/4W 68K OHM</t>
  </si>
  <si>
    <t>Resistance 1/4W 8,2K OHM</t>
  </si>
  <si>
    <t>Resistance 1/4W 7,5M ohm</t>
  </si>
  <si>
    <t>Resistance 1/4W 820k ohm</t>
  </si>
  <si>
    <t>Resistance 1/4W 680k ohm</t>
  </si>
  <si>
    <t>Resistance 1/2W 1,5 ohm</t>
  </si>
  <si>
    <t>Resistance 1/4W 47 ohm</t>
  </si>
  <si>
    <t>Resistance 1W 2W 3W 22 ohm</t>
  </si>
  <si>
    <t>Resistance 1W 2W 3W 5,6K ohm</t>
  </si>
  <si>
    <t>Resistance 1W 2W 3W 560 ohm</t>
  </si>
  <si>
    <t>Resistance 1W 2W 3W 33 ohm</t>
  </si>
  <si>
    <t>Resistance 1W 2W 3W 39 ohm</t>
  </si>
  <si>
    <t>Resistance 1W 2W 3W 47 ohm</t>
  </si>
  <si>
    <t>Resistance 1W 2W 3W 390 ohm</t>
  </si>
  <si>
    <t>Resistance 1W 2W 3W 300 ohm</t>
  </si>
  <si>
    <t>Resistance 1W 2W 3W 3,3K ohm</t>
  </si>
  <si>
    <t>Resistance 1/4W 470k ohm</t>
  </si>
  <si>
    <t>Resistance 1/4W 47K OHM</t>
  </si>
  <si>
    <t>Resistance 1W 2W 3W 22K ohm</t>
  </si>
  <si>
    <t>Resistance 1W 2W 3W 220K ohm 215K ohm</t>
  </si>
  <si>
    <t>Ristance 1W 5,6 ohm</t>
  </si>
  <si>
    <t>Resistance 1W 2W 3W 8,2 ohm</t>
  </si>
  <si>
    <t>Resistance 1W 2W 3W 120 ohm</t>
  </si>
  <si>
    <t>Resistance 1W 2W 3W 220 ohm 230 ohm</t>
  </si>
  <si>
    <t>Resistance 1W 2W 3W 47K ohm</t>
  </si>
  <si>
    <t>Resistance 1W 2W 3W 68K ohm</t>
  </si>
  <si>
    <t>Resistance 1W 2W 3W 120K ohm</t>
  </si>
  <si>
    <t>Resistance 4W 5W 7W 10W 1,8 ohm</t>
  </si>
  <si>
    <t>Resistance 4W 5W 7W 10W 15 ohm</t>
  </si>
  <si>
    <t>Resistance 4W 5W 7W 10W 2,2 ohm</t>
  </si>
  <si>
    <t>Resistance 4W 5W 7W 10W 8,2K ohm</t>
  </si>
  <si>
    <t>Resistance 4W 5W 7W 10W 27K ohm</t>
  </si>
  <si>
    <t>Resistance 4W 5W 7W 10W 3,3 ohm</t>
  </si>
  <si>
    <t>Resistance 5W 47 ohm</t>
  </si>
  <si>
    <t>RESISTANCE DE PRECISION 1M 1%</t>
  </si>
  <si>
    <t>RESISTANCE DE PRECISION 220K 1%</t>
  </si>
  <si>
    <t>RESISTANCE DE PRECISION 39K 0,1%</t>
  </si>
  <si>
    <t>RESISTANCE DE PRECISION 15K 0,1%</t>
  </si>
  <si>
    <t>RESISTANCE DE PRECISION 200R 0,1%</t>
  </si>
  <si>
    <t>RESISTANCE DE PRECISION 130R 0,1%</t>
  </si>
  <si>
    <t>RESISTANCE DE PRECISION 120R 0,1%</t>
  </si>
  <si>
    <t>RESISTANCE DE PRECISION 20R 0,1%</t>
  </si>
  <si>
    <t>RESISTANCE DE PRECISION 27K 1%</t>
  </si>
  <si>
    <t>RESISTANCE DE PRECISION 10K 0,1%</t>
  </si>
  <si>
    <t>RESISTANCE DE PRECISION 2K 0,1%</t>
  </si>
  <si>
    <t>RESISTANCE DE PRECISION 30R 0,1%</t>
  </si>
  <si>
    <t>RESISTANCE DE PRECISION 1R 0,1%</t>
  </si>
  <si>
    <t>RESISTANCE DE PRECISION 56R 0,1%</t>
  </si>
  <si>
    <t>RESISTANCE DE PRECISION 6K8 0,1%</t>
  </si>
  <si>
    <t>RESISTANCE DE PRECISION 470R 1%</t>
  </si>
  <si>
    <t>RESISTANCE DE PRECISION 750K 0,1%</t>
  </si>
  <si>
    <t>RESISTANCE DE PRECISION 430K 0,1%</t>
  </si>
  <si>
    <t>RESISTANCE DE PRECISION 91K 0,1%</t>
  </si>
  <si>
    <t>RESISTANCE DE PRECISION 43K 0,1%</t>
  </si>
  <si>
    <t>RESISTANCE DE PRECISION 5K6 1%</t>
  </si>
  <si>
    <t>RESISTANCE DE PRECISION 560R 0,1%</t>
  </si>
  <si>
    <t>RESISTANCE DE PRECISION 4K7 1%</t>
  </si>
  <si>
    <t>RESISTANCE VARIABLE 22K</t>
  </si>
  <si>
    <t>RESISTANCE VARIABLE 200R</t>
  </si>
  <si>
    <t>RESISTANCE VARIABLE 2KR</t>
  </si>
  <si>
    <t>RESISTANCE VARIABLE 2,2M</t>
  </si>
  <si>
    <t>RESISTANCE VARIABLE 1M</t>
  </si>
  <si>
    <t>RESISTANCE VARIABLE 30KR</t>
  </si>
  <si>
    <t>RESISTANCE VARIABLE 5K</t>
  </si>
  <si>
    <t>Rsistance 4W 5W 7W 10W 1M ohm</t>
  </si>
  <si>
    <t>RESISTANCE VARIABLE 24 R</t>
  </si>
  <si>
    <t>RESISTANCE VARIABLE 50K</t>
  </si>
  <si>
    <t>RESISTANCE VARIABLE 10 K ohm</t>
  </si>
  <si>
    <t>RESISTANCE VARIABLE 4,7K</t>
  </si>
  <si>
    <t>RESISTANCE VARIABLE 470K</t>
  </si>
  <si>
    <t>RESISTANCE VARIABLE 1KR</t>
  </si>
  <si>
    <t>RESISTANCE VARIABLE 220K</t>
  </si>
  <si>
    <t>RESISTANCE VARIABLE 200K</t>
  </si>
  <si>
    <t>RESISTANCE VARIABLE 2,2K</t>
  </si>
  <si>
    <t>Resistance 1/4W 4,7k ohm</t>
  </si>
  <si>
    <t>Resistance 1/4W 20K ohm 22K OHM</t>
  </si>
  <si>
    <t>Resistance 1/4W 2K ohm et 2,2K OHM</t>
  </si>
  <si>
    <t>Résistance de précision 10 K ohm 1/8W 5%</t>
  </si>
  <si>
    <t>RESISTANCE VARIABLE 220R</t>
  </si>
  <si>
    <t>Resistance bibinee 10 ohm</t>
  </si>
  <si>
    <t>Resistance 1/4W 1,6K OHM</t>
  </si>
  <si>
    <t>Resistance 1/4W 51K OHM</t>
  </si>
  <si>
    <t>Resistance 1/2W 82K ohm</t>
  </si>
  <si>
    <t>RESISTANCE VARIABLE 20K</t>
  </si>
  <si>
    <t>Resistance 1/4W 33K OHM</t>
  </si>
  <si>
    <t>Resistance 1/2 W 140M ohm</t>
  </si>
  <si>
    <t>Resistance 1W 2W 3W 0,22 ohm</t>
  </si>
  <si>
    <t>RESISTANCE DE PRECISION 100R 0,1%</t>
  </si>
  <si>
    <t>Resistance 1/2W 180K ohm</t>
  </si>
  <si>
    <t>Resistance 1/2W 180 ohm</t>
  </si>
  <si>
    <t>Resistance 1/2W 47K ohm</t>
  </si>
  <si>
    <t>Resistance 1/2W 10K ohm</t>
  </si>
  <si>
    <t>15N60 N-channel 15A 600V (TO-247) Mosfet</t>
  </si>
  <si>
    <t>RESISTANCE VARIABLE 470R</t>
  </si>
  <si>
    <t>RESISTANCE VARIABLE 330R</t>
  </si>
  <si>
    <t>Resistance 1/4W 5,6K OHM</t>
  </si>
  <si>
    <t>Resistance 1W 2W 3W 2,2K ohm</t>
  </si>
  <si>
    <t>RESISTANCE DE PRECISION 82K 0,1%</t>
  </si>
  <si>
    <t>Resistance 1/4W 330 ohm</t>
  </si>
  <si>
    <t>Ristance 1/4W 390 ohm</t>
  </si>
  <si>
    <t>Potentiometre 1/2W 5K</t>
  </si>
  <si>
    <t>Resistance 1/4W 75 ohm</t>
  </si>
  <si>
    <t>Resistance 1/4W 68 ohm</t>
  </si>
  <si>
    <t>résistance bobinée 3w 330OHM</t>
  </si>
  <si>
    <t>résistance Céramique 4w 39OHM</t>
  </si>
  <si>
    <t>résistance Céramique 5w 47OHM</t>
  </si>
  <si>
    <t>résistance Céramique 5w 2,2KOHM</t>
  </si>
  <si>
    <t>résistance bobinée 24w 100OHM</t>
  </si>
  <si>
    <t>résistance bobinée 5w 180OHM</t>
  </si>
  <si>
    <t>résistance céramique 5w 18OHM</t>
  </si>
  <si>
    <t>Resistance 1/4W 27 ohm</t>
  </si>
  <si>
    <t>Resistance 1/4W 220 ohm</t>
  </si>
  <si>
    <t>Resistance 1/2W 120K ohm</t>
  </si>
  <si>
    <t>Resistance 1/4W 1 ohm</t>
  </si>
  <si>
    <t>Resistance 1/4W 200 ohm</t>
  </si>
  <si>
    <t>Resistance 1/2W 270K ohm</t>
  </si>
  <si>
    <t>Resistance 1/4W 2,7 Kohm</t>
  </si>
  <si>
    <t>Resistance 1W 2W 3W 1K ohm</t>
  </si>
  <si>
    <t>Resistance 1/2W 22K ohm</t>
  </si>
  <si>
    <t>Resistance 1/4W 39k ohm</t>
  </si>
  <si>
    <t>Resistance 1/2W 4,7 ohm</t>
  </si>
  <si>
    <t>Resistance 1/4W 2,2M ohm</t>
  </si>
  <si>
    <t>Resistance 1/4W 270k ohm</t>
  </si>
  <si>
    <t>Resistance 1/4W 390k ohm</t>
  </si>
  <si>
    <t>Resistance 1/4W 4,7 ohm</t>
  </si>
  <si>
    <t>Resistance 1/2W 7,5K ohm</t>
  </si>
  <si>
    <t>Resistance 1/4W 560 ohm et 510 ohm</t>
  </si>
  <si>
    <t>Resistance 1/4W 180k ohm</t>
  </si>
  <si>
    <t>Resistance 4W 5W 7W 10W 470 ohm</t>
  </si>
  <si>
    <t>Resistance 1/4W 10K ohm</t>
  </si>
  <si>
    <t>Potentiometre 1/2W 20K</t>
  </si>
  <si>
    <t>Resistance 1/2W 33K ohm</t>
  </si>
  <si>
    <t>Resistance 1/2W 1M ohm</t>
  </si>
  <si>
    <t>Resistance 1/2W 5,6K ohm</t>
  </si>
  <si>
    <t>Resistance 1/2W 39K ohm</t>
  </si>
  <si>
    <t>Resistance 1/2W 100K ohm</t>
  </si>
  <si>
    <t>RESISTANCE VARIABLE 47KR</t>
  </si>
  <si>
    <t>2N2369 NPN General Purpose Transistor</t>
  </si>
  <si>
    <t>2N1711 NPN General Purpose Transistor</t>
  </si>
  <si>
    <t>2N1596 Transistor</t>
  </si>
  <si>
    <t>2N3054 Transistor</t>
  </si>
  <si>
    <t>2N1308 transistor</t>
  </si>
  <si>
    <t>2N2297 Transistor</t>
  </si>
  <si>
    <t>2n1671 transistor</t>
  </si>
  <si>
    <t>2N2484 NPN General Purpose Transistor</t>
  </si>
  <si>
    <t>2N1613 NPN General Purpose Transistor</t>
  </si>
  <si>
    <t>2N2243 transistor</t>
  </si>
  <si>
    <t>2N3019 NPN Power Transistor</t>
  </si>
  <si>
    <t>2N2926 Transistor</t>
  </si>
  <si>
    <t>2N2646 Unijunction Transistor</t>
  </si>
  <si>
    <t>2N2219 NPN</t>
  </si>
  <si>
    <t>2N2906 PNP Switching Transistor</t>
  </si>
  <si>
    <t>2N2905 PNP General Purpose Transistor</t>
  </si>
  <si>
    <t>2N2218 NPN High-Speed Switch</t>
  </si>
  <si>
    <t>2N1893 NPN General Purpose Transistor</t>
  </si>
  <si>
    <t>2N2102 NPN General Purpose Amplifier</t>
  </si>
  <si>
    <t>2N2923 transistor</t>
  </si>
  <si>
    <t>2N2907 PNP Switching Transistor METAL</t>
  </si>
  <si>
    <t>2N2904 PNP General Purpose Transistor</t>
  </si>
  <si>
    <t>2N3904 NPN General Purpose Transistor</t>
  </si>
  <si>
    <t>2N3663 Transistor</t>
  </si>
  <si>
    <t>2N3415 Transistor</t>
  </si>
  <si>
    <t>2N4393 Transistor</t>
  </si>
  <si>
    <t>2N3903 NPN</t>
  </si>
  <si>
    <t>2N3866 NPN Overlay Transistor</t>
  </si>
  <si>
    <t>2N3905 PNP</t>
  </si>
  <si>
    <t>2N4036 PNP Switching Transistor</t>
  </si>
  <si>
    <t>2N3441 Transistor</t>
  </si>
  <si>
    <t>2N3702 PNP General Purpose Transistor</t>
  </si>
  <si>
    <t>2N3440 NPN General Purpose Transistor</t>
  </si>
  <si>
    <t>2N4403 PNP General Purpose Transistor</t>
  </si>
  <si>
    <t>2N4033 PNP General Purpose Transistor</t>
  </si>
  <si>
    <t>2N4125 PNP General Purpose Transistor</t>
  </si>
  <si>
    <t>2N3504 PNP General Purpose Transistor=2N3502</t>
  </si>
  <si>
    <t>2N3251A PNP General Purpose Transistor =2N3253</t>
  </si>
  <si>
    <t>2N3391 NPN</t>
  </si>
  <si>
    <t>2N3392 NPN General Purpose Amplifier=2N3393</t>
  </si>
  <si>
    <t>2N3467 PNP General Purpose Transistor</t>
  </si>
  <si>
    <t>2N3439 NPN General Purpose Transistor</t>
  </si>
  <si>
    <t>2N3819 Transistor</t>
  </si>
  <si>
    <t>2N5179 NPN VHF/UHF Transistor</t>
  </si>
  <si>
    <t>2N5191 NPN Power Transistor</t>
  </si>
  <si>
    <t>2N5194 PNP Power Transistor</t>
  </si>
  <si>
    <t>2N5401 PNP Small Signal Transistor</t>
  </si>
  <si>
    <t>2N5465 Transistor</t>
  </si>
  <si>
    <t>2N5320 Transistor</t>
  </si>
  <si>
    <t>2N5298 Transistor</t>
  </si>
  <si>
    <t>2N5294 EQ 2N5295 transistor</t>
  </si>
  <si>
    <t>2N5415 PNP General Purpose Transistor</t>
  </si>
  <si>
    <t>2N5551 NPN General Purpose Transistor</t>
  </si>
  <si>
    <t>2N5550 NPN General Purpose Transistor</t>
  </si>
  <si>
    <t>2N60 Power MOSFET</t>
  </si>
  <si>
    <t>2N525 PNP</t>
  </si>
  <si>
    <t>2N6027 Programmable Unijunction Transistor</t>
  </si>
  <si>
    <t>2N5190 NPN Power Transistor</t>
  </si>
  <si>
    <t>2N5322 PNP Small Signal Transistor</t>
  </si>
  <si>
    <t>2N5305 NPN Darlington Transistor</t>
  </si>
  <si>
    <t>2N5886 NPN Power Transistor</t>
  </si>
  <si>
    <t>2N6028 Programmable Unijunction Transistor</t>
  </si>
  <si>
    <t>2N6123 NPN Power Transistor</t>
  </si>
  <si>
    <t>2N930 transistor</t>
  </si>
  <si>
    <t>2N6099 NPN</t>
  </si>
  <si>
    <t>2N7000 Transistor MOSFET</t>
  </si>
  <si>
    <t>2N6109 PNP Medium Power Transistor</t>
  </si>
  <si>
    <t>2N6059 NPN Power Darlington Transistor=2N6058</t>
  </si>
  <si>
    <t>2N964 E 2N965</t>
  </si>
  <si>
    <t>2N6387 NPN Power Darlington Transistor</t>
  </si>
  <si>
    <t>2N6122 NPN Power Transistor</t>
  </si>
  <si>
    <t>2SA673 PNP General Purpose Transistor</t>
  </si>
  <si>
    <t>2SC1215 NPN Small Signal Transistor=2SC1216</t>
  </si>
  <si>
    <t>2SA950 PNP Audio Amplifier Transistor=2SA952</t>
  </si>
  <si>
    <t>2SA970 PNP Audio Amplifier Transistor</t>
  </si>
  <si>
    <t>2SB544 PNP General Purpose Transistor=B546</t>
  </si>
  <si>
    <t>2SA933 PNP General Purpose Transistor</t>
  </si>
  <si>
    <t>2SA733 PNP General Purpose Transistor</t>
  </si>
  <si>
    <t>2SC2570 NPN High Frequency Low-Noise Transistor</t>
  </si>
  <si>
    <t>2SC2120 NPN Audio Amplifier</t>
  </si>
  <si>
    <t>2SC1959 PNP Audio Frequency Amplifier</t>
  </si>
  <si>
    <t>2SC1845 NPN High Voltage Amplifier</t>
  </si>
  <si>
    <t>2SC1815  NPN Small Signal Transistor</t>
  </si>
  <si>
    <t>2SC1684 NPN General Purpose Transistor</t>
  </si>
  <si>
    <t>2SC1359 NPN Small Signal Transistor=2SC1358</t>
  </si>
  <si>
    <t>2SC2240 NPN Small Signal Transistor</t>
  </si>
  <si>
    <t>2SC1384 NPN General Purpose Transistor</t>
  </si>
  <si>
    <t>AC125 PNP germanium transistor</t>
  </si>
  <si>
    <t>BC170 NPN silicon transistor</t>
  </si>
  <si>
    <t>BC114 Silcon NPN transistor</t>
  </si>
  <si>
    <t>AMS1117 5,0 5V SOT 223 Regulateur de tension</t>
  </si>
  <si>
    <t>BC109 NPN General Purpose Transistor</t>
  </si>
  <si>
    <t>BC109C NPN General Purpose Transistor</t>
  </si>
  <si>
    <t>BC141 NPN General Purpose Transistor</t>
  </si>
  <si>
    <t>BC142 NPN Small Signal Transistor=BC143</t>
  </si>
  <si>
    <t>BC161 PNP General Purpose Transistor</t>
  </si>
  <si>
    <t>BC177 PNP Small Signal Transistor</t>
  </si>
  <si>
    <t>BC178B PNP General Purpose Transistor</t>
  </si>
  <si>
    <t>BC178C PNP General Purpose Transistor</t>
  </si>
  <si>
    <t>BC182L NPN General Purpose Transistor</t>
  </si>
  <si>
    <t>BC183L NPN Small Signal Transistor</t>
  </si>
  <si>
    <t>BC184L NPN General Purpose Transistor</t>
  </si>
  <si>
    <t>BC212L PNP Small Signal Transistor</t>
  </si>
  <si>
    <t>BC213L PNP General Purpose Transistor</t>
  </si>
  <si>
    <t>BC214 PNP Small Signal Transistor</t>
  </si>
  <si>
    <t>BC338 NPN General Purpose Transistor</t>
  </si>
  <si>
    <t>BC549 NPN General Purpose Transistor</t>
  </si>
  <si>
    <t>BC558 PNP General Purpose Transistor</t>
  </si>
  <si>
    <t>BD137 NPN</t>
  </si>
  <si>
    <t>BC238 NPN Small Signal Transistor</t>
  </si>
  <si>
    <t>BD136 PNP Power Transistor</t>
  </si>
  <si>
    <t>BC640 PNP Audio GP Transistor</t>
  </si>
  <si>
    <t>BC546 NPN General Purpose Transistor</t>
  </si>
  <si>
    <t>BC517 NPN</t>
  </si>
  <si>
    <t>BC372 High Voltage NPN Darlington Transistor =BC374</t>
  </si>
  <si>
    <t>BC309 PNP General Purpose Transistor</t>
  </si>
  <si>
    <t>BC239 NPN General Purpose Transistor</t>
  </si>
  <si>
    <t>BC550 NPN Low Noise Transistor</t>
  </si>
  <si>
    <t>BC237 NPN General Purpose Transistor</t>
  </si>
  <si>
    <t>BC328 PNP General Purpose Transistor</t>
  </si>
  <si>
    <t>BC559 PNP General Purpose Transistor</t>
  </si>
  <si>
    <t>BC560 PNP Low Noise Transistor</t>
  </si>
  <si>
    <t>BC635 NPN High Current Transistor</t>
  </si>
  <si>
    <t>BC636 PNP General Purpose Transistor</t>
  </si>
  <si>
    <t>BC637 NPN High Current Transistor</t>
  </si>
  <si>
    <t>BC638 PNP High Current Transistor</t>
  </si>
  <si>
    <t>BCY34 PNP silicon transistor</t>
  </si>
  <si>
    <t>BC251C PNP silicon transistor</t>
  </si>
  <si>
    <t>BD249 NPN Power Transistor</t>
  </si>
  <si>
    <t>BD239 NPN Power Transistor</t>
  </si>
  <si>
    <t>BD139 NPN Power Transistor</t>
  </si>
  <si>
    <t>BD176 PNP Power Transistor</t>
  </si>
  <si>
    <t>BD180 PNP Power Transistor</t>
  </si>
  <si>
    <t>BD201 NPN Power Transistor</t>
  </si>
  <si>
    <t>BD203 NPN Power Transistor</t>
  </si>
  <si>
    <t>BD204 PNP Power Transistor</t>
  </si>
  <si>
    <t>BD233 NPN Power Transistor</t>
  </si>
  <si>
    <t>BD234 PNP Power Transistor</t>
  </si>
  <si>
    <t>BD235 NPN Power Transistor</t>
  </si>
  <si>
    <t>BD236 PNP Power Transistor</t>
  </si>
  <si>
    <t>BC557 PNP General Purpose Transistor</t>
  </si>
  <si>
    <t>BC337 NPN General Purpose Transistor</t>
  </si>
  <si>
    <t>BD238 PNP Power Transistor</t>
  </si>
  <si>
    <t>BD237 NPN Power Transistor</t>
  </si>
  <si>
    <t>BD175 NPN Power Transistor</t>
  </si>
  <si>
    <t>BD240 PNP Power Transistor</t>
  </si>
  <si>
    <t>BD241 NPN Power Transistor</t>
  </si>
  <si>
    <t>BD242 PNP Power Transistor</t>
  </si>
  <si>
    <t>BD243 NPN</t>
  </si>
  <si>
    <t>BD250 PNP Power Transistor</t>
  </si>
  <si>
    <t>BD177</t>
  </si>
  <si>
    <t>BD437 NPN Power Transistor</t>
  </si>
  <si>
    <t>BD438 PNP Power Transistor</t>
  </si>
  <si>
    <t>BD439 NPN Power Transistor</t>
  </si>
  <si>
    <t>BD538 PNP Power Transistor</t>
  </si>
  <si>
    <t>BD535 NPN Power Transistor</t>
  </si>
  <si>
    <t>BD647 NPN Darlington Transistor =BD645</t>
  </si>
  <si>
    <t>BD440 PNP Power Transistor</t>
  </si>
  <si>
    <t>BD675 NPN Darlington Power Transistor</t>
  </si>
  <si>
    <t>BD677 NPN Power Transistor</t>
  </si>
  <si>
    <t>BU406 NPN HV Hi-Speed Power Transistor</t>
  </si>
  <si>
    <t>BU407 NPN HV Hi-Speed Power Transistor</t>
  </si>
  <si>
    <t>BU505 NPN HV Hi-Speed Power Transistor</t>
  </si>
  <si>
    <t>BU807 NPN Darlington High-Voltage Transistor</t>
  </si>
  <si>
    <t>BU806 NPN Darlington High-Voltage Transistor</t>
  </si>
  <si>
    <t>BU2525A NPN High-Voltage Transistor</t>
  </si>
  <si>
    <t>IRF510 5,6A 100V N-Channel Power MOSFET</t>
  </si>
  <si>
    <t>IRF830 4,5A 500V N-Channel Power MOSFET</t>
  </si>
  <si>
    <t>IRF740 10A 400V N-Channel Power MOSFET</t>
  </si>
  <si>
    <t>IRF840 8A 500V N-Channel Power MOSFET</t>
  </si>
  <si>
    <t>IRF9630 6,5 200V P-Channel Power MOSFET</t>
  </si>
  <si>
    <t>IRFZ44N Transistor MOSFET</t>
  </si>
  <si>
    <t>IRFP9240 12A 200V P-Channel Power MOSFET</t>
  </si>
  <si>
    <t>IRF9Z34N Transistor MOSFET</t>
  </si>
  <si>
    <t>Transistor 7809</t>
  </si>
  <si>
    <t>2N3055 NPN</t>
  </si>
  <si>
    <t>CÂBLE COAXIAL RG 58 (50 m)</t>
  </si>
  <si>
    <t>BNC connectors for RG 58</t>
  </si>
  <si>
    <t>SMA Adapter SMA Plug to SMA Jack straight - SMA Port Saver</t>
  </si>
  <si>
    <t>cable-sma-male-a-male-1m-cable-coaxial-rg316 1m</t>
  </si>
  <si>
    <t>adaptateur BNC femelle type T</t>
  </si>
  <si>
    <t>Adaptateur En T Type N Fem/male/fem</t>
  </si>
  <si>
    <t>résistance variable à connecteurs BNC</t>
  </si>
  <si>
    <t>Fils de liaison pour carte Arduino (mâle/mâle)(mâle/femelle)(femelle/femelle)</t>
  </si>
  <si>
    <t>Connecteurs RJ45</t>
  </si>
  <si>
    <t>Testeur de câble RJ45</t>
  </si>
  <si>
    <t>Pince à sertir pour RJ45</t>
  </si>
  <si>
    <t>Montant H.T</t>
  </si>
  <si>
    <t>TVA (0%)</t>
  </si>
  <si>
    <t>Montant TTC</t>
  </si>
  <si>
    <t>Fin de course PM "micro-switch 3A-250v"</t>
  </si>
  <si>
    <r>
      <t>Fin de course PM</t>
    </r>
    <r>
      <rPr>
        <sz val="9"/>
        <color theme="1"/>
        <rFont val="Times New Roman"/>
      </rPr>
      <t xml:space="preserve"> "micro-switch 3A-250v"</t>
    </r>
  </si>
  <si>
    <t>Capteur de vibrations/chocs KY-031</t>
  </si>
  <si>
    <t>3,9nF 100V Polyster Capacitors 2A392J</t>
  </si>
  <si>
    <t>CAPACITE CERAMIQUE 10nf/63V</t>
  </si>
  <si>
    <t>CAPACITE CHIMIQUE 0,22 micro F 50v</t>
  </si>
  <si>
    <t>2N1596 Transistor = 2N1595</t>
  </si>
  <si>
    <t>2N5305 NPN Darlington Transistor EQ 2N5306</t>
  </si>
  <si>
    <t>BC142 NPN Small Signal Transistor=BC143, BC141</t>
  </si>
  <si>
    <t>BD175 NPN Power Transistor EQ BD135</t>
  </si>
  <si>
    <t>2N6123 NPN Power Transistor = 2N6043</t>
  </si>
  <si>
    <t>BC142 NPN Small Signal Transistor=BC141</t>
  </si>
  <si>
    <t>2N3415 Transistor Equivalent to 2N6075</t>
  </si>
  <si>
    <t>2N2923 transistor = 2N3391</t>
  </si>
  <si>
    <t>2N2926 Transistor == 2N4125</t>
  </si>
  <si>
    <t>2N3415 Transistor EQ 2N6075</t>
  </si>
  <si>
    <t>2N2926 Transistor = 2N4125</t>
  </si>
  <si>
    <t>GSM/GPRS sim900 shield pour arduino</t>
  </si>
  <si>
    <t>Module GSM/GPRS SIM900A</t>
  </si>
  <si>
    <t>Module WIFI ESP8266-E12 NodMCU</t>
  </si>
  <si>
    <t>Module  WiFi Bluetooth ESP32-Wroom NodeMCU</t>
  </si>
  <si>
    <t>Convertisseur USB-TTL FT232RL-3V3 FTDI</t>
  </si>
  <si>
    <t>LDNIO Power Bank 20,000mAh + 3 en 1 cable &amp;ndash; PL2014</t>
  </si>
  <si>
    <t>Panneau solaire Polycristallin 6V 0.3Watt</t>
  </si>
  <si>
    <t>Capteur température et humidité DHT-22 (RHT03)</t>
  </si>
  <si>
    <t xml:space="preserve">capteur de température et d’humidité DHT21/AM2301 </t>
  </si>
  <si>
    <t>Capteur de température/pression BMP280</t>
  </si>
  <si>
    <t>Capteur de température/humidité/pression/gaz  BME680</t>
  </si>
  <si>
    <t>Capteur d’humidité du Sol capacitif</t>
  </si>
  <si>
    <t>Capteurd’humidité du sol</t>
  </si>
  <si>
    <t>Module thermocouple Type + K MAX6675</t>
  </si>
  <si>
    <t>Convertisseur thermocouple-numérique  MAX31855KASA+</t>
  </si>
  <si>
    <t>Multiplexeuranalogique ADG406 (16 -&gt;1)</t>
  </si>
  <si>
    <t>Multiplexeuranalogique ADG407 (8*2 -&gt;2)</t>
  </si>
  <si>
    <t>Convertisseur de tension ICL7660S (6V -&gt; -6V)</t>
  </si>
  <si>
    <t>Amplificateurs de thermocouple Type K  AD595</t>
  </si>
  <si>
    <t>Module relais 8 canaux 5V optocoupleur 250VAC/30VDC/10A</t>
  </si>
  <si>
    <t>Module relais 4  canaux 5V optocoupleur 250VAC/30VDC/10A</t>
  </si>
  <si>
    <t>Module relais 2  canaux 5V optocoupleur 250VAC/30VDC/10A</t>
  </si>
  <si>
    <t>Capteur De Débit 3/4 YF-B5</t>
  </si>
  <si>
    <t>CapteurDébimetre YF-S201</t>
  </si>
  <si>
    <t>Rouleau 100m thermocouple Type</t>
  </si>
  <si>
    <t>ESP32 DHT11capteur températurehumidit</t>
  </si>
  <si>
    <t>Module pompe contrôleur niveau d'eau</t>
  </si>
  <si>
    <t>Capteur tension alternative ZMPT101B</t>
  </si>
  <si>
    <t>Module d'arrosageautomatique 12V</t>
  </si>
  <si>
    <t>Cellule solaire pollycristalline 12V 1.5W</t>
  </si>
  <si>
    <t>Capteur débitmètre d'eau</t>
  </si>
  <si>
    <t>StepDown DC DC XL4015 5A +voltmètr</t>
  </si>
  <si>
    <t>TXS0108E Module convertisseur tension</t>
  </si>
  <si>
    <t>CONVERTISSEUR FT232 USB TO RS485 TTL</t>
  </si>
  <si>
    <t>XKC Y25 T12V détecteur niveau d'eau</t>
  </si>
  <si>
    <t>Diode: BYW100 </t>
  </si>
  <si>
    <t>diode ziner: 1N4745A</t>
  </si>
  <si>
    <t>resistance variable :270 ohm</t>
  </si>
  <si>
    <t>ESP32 DHT11capteur températurehumidité</t>
  </si>
  <si>
    <t>Module relais 8 canaux 5V optocoupleur250VAC/30VDC/10A</t>
  </si>
  <si>
    <t>Capteurdébitmètred'eau</t>
  </si>
  <si>
    <t>Driver IR2121</t>
  </si>
  <si>
    <t>Driver IR2104</t>
  </si>
  <si>
    <t>Driver L6384</t>
  </si>
  <si>
    <t>Régulateur 7817</t>
  </si>
  <si>
    <t>Circuit pilote TC4424</t>
  </si>
  <si>
    <t>MOSFET IRF 260</t>
  </si>
  <si>
    <t>Résistance précision  100 ohm</t>
  </si>
  <si>
    <t>PIC 16F 4550</t>
  </si>
  <si>
    <t>Capteur DHT22</t>
  </si>
  <si>
    <t>Capteur DHT11</t>
  </si>
  <si>
    <t>Capteur  de courant ACS 712 20A</t>
  </si>
  <si>
    <t>Capteur  de courant ACS 712 300A</t>
  </si>
  <si>
    <t>Capteur  de tension LEM CLSM 10MA</t>
  </si>
  <si>
    <t>ARDUINO MEGA 2560 R3</t>
  </si>
  <si>
    <t>ARDUINO UNO R3</t>
  </si>
  <si>
    <t>ARDUINO nano</t>
  </si>
  <si>
    <t>raspberry pi 3b+</t>
  </si>
  <si>
    <t>Raspberry zero </t>
  </si>
  <si>
    <t>INFRARED REMOTE CONTROL RELAY MODULE</t>
  </si>
  <si>
    <t>FINGERPRINT SENSOR</t>
  </si>
  <si>
    <t>CO2 sensor arduino</t>
  </si>
  <si>
    <t>electrovanne</t>
  </si>
  <si>
    <t>Gaz sensor arduino</t>
  </si>
  <si>
    <t>Ultra sonic sensor arduino</t>
  </si>
  <si>
    <t>Water sensor for arduino</t>
  </si>
  <si>
    <t>Temperature sensor for arduino</t>
  </si>
  <si>
    <t>BREADBOARD CL 7X9 CIRCUIT BOARD(pcb)</t>
  </si>
  <si>
    <t>2 key</t>
  </si>
  <si>
    <t>CHANNEL 5V RELAY MODULE </t>
  </si>
  <si>
    <t>4PIN IR INFRARED OBSTACLE AVOIDANCE SENSOR MODULE KY032</t>
  </si>
  <si>
    <t>Module émetteur-récepteur RF Bluetooth sans fil série RS232 pour Arduino</t>
  </si>
  <si>
    <t>2Amp 7V-30V L298N Motor Driver / Stepper Driver (2 Channels)</t>
  </si>
  <si>
    <t>4 DC Motors Drive Module &amp;ndash; L293D</t>
  </si>
  <si>
    <t>Kit composants électronique "Basic" (Résistance , Capacité , Diode, Transistor&amp;hellip;)</t>
  </si>
  <si>
    <t>Plaque d'essai Breadboard</t>
  </si>
  <si>
    <t>Jetson Xavier NX AI DevelopmentBoard, Waveshare NX DevelopmentBoardBased on Jetson Xavier NX(RAM 16GB)</t>
  </si>
  <si>
    <t>LOGITECH 4K PRO WEBCAM</t>
  </si>
  <si>
    <t>ventilateur 12v</t>
  </si>
  <si>
    <t xml:space="preserve">Shield GPRS-GSM per Arduino con SIM900 </t>
  </si>
  <si>
    <t>batterie 12 v</t>
  </si>
  <si>
    <t>Gpsneo 6m</t>
  </si>
  <si>
    <t>Car body 4wd</t>
  </si>
  <si>
    <t>Raspberry Pi 4 model B 4Gb</t>
  </si>
  <si>
    <t>electrovanne 12v</t>
  </si>
  <si>
    <t>Ultrasonic sensor arduino</t>
  </si>
  <si>
    <t>BREADBOARD CL 7X9 CIRCUIT BOARD (pcb)</t>
  </si>
  <si>
    <t>StepDown DC DC XL4015 5A + voltmètre</t>
  </si>
  <si>
    <t>Capteur Débimetre YF-S201</t>
  </si>
  <si>
    <t>Capteur de Débit 3/4 YF-B5</t>
  </si>
  <si>
    <t>Multiplexeur  analogique ADG406 (16 -&gt;1)</t>
  </si>
  <si>
    <t>Multiplexeur  analogique ADG407 (8*2 -&gt;2)</t>
  </si>
  <si>
    <t>GPS neo 6m</t>
  </si>
  <si>
    <t>Batterie 12 v</t>
  </si>
  <si>
    <t>Ventilateur 12v</t>
  </si>
  <si>
    <t>Plaque d'essai Breadboard 830p</t>
  </si>
  <si>
    <t>Kit composants électronique "Basic" (Résistance , Capacité , Diode, Transistor &amp; hellip;)</t>
  </si>
  <si>
    <t>Electrovanne 12v 1/4 inch</t>
  </si>
  <si>
    <t>Capteur  de courant ACS 712 30A</t>
  </si>
  <si>
    <t>Capteur  de courant ACS712 20A</t>
  </si>
  <si>
    <t>Capteur  de courant ACS712 30A</t>
  </si>
  <si>
    <t>PIC 16F4550</t>
  </si>
  <si>
    <t>Régulateur 7815</t>
  </si>
  <si>
    <t>Capteur débimetre YF-S201</t>
  </si>
  <si>
    <t>Module d'arrosage  automatique 12V</t>
  </si>
  <si>
    <t>Capteur  débitmètre  d'eau</t>
  </si>
  <si>
    <t>Capteur de débit 3/4 YF-B5</t>
  </si>
  <si>
    <t>ESP32 DHT11 capteur températurehumidité</t>
  </si>
  <si>
    <t>ESP32 DHT11 capteur température humidité</t>
  </si>
  <si>
    <t>Step Down DC DC XL4015 5A + voltmètre</t>
  </si>
  <si>
    <t>Jetson Xavier NX AI DevelopmentBoard, Waveshare NX Development Board Based on Jetson Xavier NX(RAM 16GB)</t>
  </si>
  <si>
    <t>LDNIO Power Bank 20,000mAh + 3 en 1 cable PL2014</t>
  </si>
  <si>
    <t>Module d'arrosage automatique 12V</t>
  </si>
  <si>
    <t>ESP32 DHT11capteur température humidité</t>
  </si>
  <si>
    <t>ESP32 DHT11  capteur température humidité</t>
  </si>
  <si>
    <t>Raspberry Pi zero W</t>
  </si>
  <si>
    <t>Car body 4wd Alliage Aluminium</t>
  </si>
  <si>
    <t>Car body 4 WD Alliage Aluminium</t>
  </si>
  <si>
    <t>Paquet résistances 100 valeurs (1000 pièces)</t>
  </si>
  <si>
    <t>Paquet résistances 1000 pièces (100 valeurs différentes)</t>
  </si>
  <si>
    <t>Paquet transistors 200 pièces valeurs différentes</t>
  </si>
  <si>
    <t>Paquet transistors 200 pièces valeurs différentes (NPN et PNP)</t>
  </si>
  <si>
    <t>Paquet diodes 200 pièces valeurs différentes</t>
  </si>
  <si>
    <t>Paquet diodes 100 pièces valeurs différentes</t>
  </si>
  <si>
    <t>Paquet transistors 100 pièces valeurs différentes (NPN et PNP)</t>
  </si>
  <si>
    <t>Paquet capacitors</t>
  </si>
  <si>
    <t>Paquet capacitors 200 pièces valeurs différentes</t>
  </si>
  <si>
    <t>Batterie 12 v 4Ah GEL</t>
  </si>
  <si>
    <t>ARDUINO UNO</t>
  </si>
  <si>
    <t>ARDUINO MEGA</t>
  </si>
  <si>
    <t>STM32 Nucleo L476RG Development Board</t>
  </si>
  <si>
    <t>Amplificateur à très haute fréquenceMOSFET BSS123 Fairchild</t>
  </si>
  <si>
    <t>RASPberry P4 (4G.O de RAM)+ CAMERA</t>
  </si>
  <si>
    <t xml:space="preserve">ESP32 </t>
  </si>
  <si>
    <t>esp32-cam i2c</t>
  </si>
  <si>
    <t>Arducam 5MP Plus OV5642</t>
  </si>
  <si>
    <t>Module de caméra OV7670 compatible avec VGA</t>
  </si>
  <si>
    <t>Mini module Camera Shield 5MP Plus</t>
  </si>
  <si>
    <t xml:space="preserve">Capteur Ultrason </t>
  </si>
  <si>
    <t>Capteur Infrarouge</t>
  </si>
  <si>
    <t>Robot 4 roues  (sachet+motors)</t>
  </si>
  <si>
    <t>Modules XBee (zigbeeshield)</t>
  </si>
  <si>
    <t>Module GPS</t>
  </si>
  <si>
    <t>Robot 2 roues  (sachet+motors)</t>
  </si>
  <si>
    <t>Fils de liaison pour carte Arduino (mâle/mâle)(mâle/femelle)(femelle /femelle)</t>
  </si>
  <si>
    <t>shield L298</t>
  </si>
  <si>
    <t>Module Bluetooth HC-06 </t>
  </si>
  <si>
    <t>Module Bluetooth HC-05 </t>
  </si>
  <si>
    <t>Servomotor MG996R.</t>
  </si>
  <si>
    <t>Servomoteur SG90</t>
  </si>
  <si>
    <t>12V DC Moteur avec Encodeur 12A093</t>
  </si>
  <si>
    <t>capteur de pression</t>
  </si>
  <si>
    <t>Capteur de débit d’eau</t>
  </si>
  <si>
    <t>BMP085</t>
  </si>
  <si>
    <t>Baromètre CAPTEUR MS5611-01BA03</t>
  </si>
  <si>
    <t>Nema 17 - Moteur Pas à Pas 12 Vcc</t>
  </si>
  <si>
    <t>Module de capteur ECG de fréquence cardiaque AD8232</t>
  </si>
  <si>
    <t>Lecteur optique d’empreintes digitales</t>
  </si>
  <si>
    <t>Lecteur d’empreintes digitales (GT511C1R)</t>
  </si>
  <si>
    <t>Capteur de pouls</t>
  </si>
  <si>
    <t>Module de bosquet de réponse cutanée galvanique</t>
  </si>
  <si>
    <t>Capteur musculaire Myoware</t>
  </si>
  <si>
    <t>Capteur de fréquence cardiaque au doigt</t>
  </si>
  <si>
    <t>Bouclier e-Santé</t>
  </si>
  <si>
    <t>Amplificateurs Large bandeMesfet XG1001-SA</t>
  </si>
  <si>
    <t>Capteur numérique tactile TTP223B</t>
  </si>
  <si>
    <t>Muscle signal capteur EMG Capteur</t>
  </si>
  <si>
    <t>Capteur de flamme</t>
  </si>
  <si>
    <t>lm2587 DC-DC Boost ConverterStep up 4-35v Power Supply</t>
  </si>
  <si>
    <t>LM2587 DC-DC convertisseur de puissance STEP DOWN</t>
  </si>
  <si>
    <t>Capteur de son</t>
  </si>
  <si>
    <t>Capteur UV</t>
  </si>
  <si>
    <t>Capteur de pluie</t>
  </si>
  <si>
    <t>Capteur de flexion</t>
  </si>
  <si>
    <t>Capteur de suiveur de ligne</t>
  </si>
  <si>
    <t xml:space="preserve">Caméra infrarouge </t>
  </si>
  <si>
    <t>Caméra thermique</t>
  </si>
  <si>
    <t>Module RFID (RFID reader)</t>
  </si>
  <si>
    <t>gyroscope MPU6050</t>
  </si>
  <si>
    <t>relais</t>
  </si>
  <si>
    <t>Afficheur LCD 16</t>
  </si>
  <si>
    <t>carte RTL.SDR</t>
  </si>
  <si>
    <t>serial cableantenna</t>
  </si>
  <si>
    <t xml:space="preserve">RG316 câble coaxial N-femelle pour RSMA-femme 20cm </t>
  </si>
  <si>
    <t>Batteries 12 V</t>
  </si>
  <si>
    <t>Panneauxsolaire  6V 5W</t>
  </si>
  <si>
    <t>Panneauxsolaire12V 100W</t>
  </si>
  <si>
    <t>Humidité Détection Capteur de sol</t>
  </si>
  <si>
    <t>Capteur de courant ACS712</t>
  </si>
  <si>
    <t xml:space="preserve">Capteur De Tension </t>
  </si>
  <si>
    <t>NE555</t>
  </si>
  <si>
    <t>VCO</t>
  </si>
  <si>
    <t>PLL 4046</t>
  </si>
  <si>
    <t>Basys 3 Artix-7 FPGA Board Academic</t>
  </si>
  <si>
    <t xml:space="preserve">kit de développement IOT LORA  TECHNOLOGIE DRAGINO
</t>
  </si>
  <si>
    <t xml:space="preserve">-LA66 LoRaWANShield pour Arduino
</t>
  </si>
  <si>
    <t xml:space="preserve">- LA66 Adaptateur USB LoRaWAN pour PC/Mobile/RPi
</t>
  </si>
  <si>
    <t xml:space="preserve">- Passerelle LPS8v2 LoRaWAN
</t>
  </si>
  <si>
    <t>kit de developpement ZigBee, JN517X-DK005, 596, JN5179</t>
  </si>
  <si>
    <t>DXWSN kit de développement IoTzigbee</t>
  </si>
  <si>
    <t>Module émetteur pour la transmission par fibre optique.</t>
  </si>
  <si>
    <t>Module récepteur pour la transmission par fibre optique.</t>
  </si>
  <si>
    <t>kit de développement IOT LORA  TECHNOLOGIE DRAGINO -LA66 LoRaWANShield pour Arduino - LA66 Adaptateur USB LoRaWAN pour PC/Mobile/RPi - Passerelle LPS8v2 LoRaWA</t>
  </si>
  <si>
    <t>Fibres optiques de longueur 10 Kl.</t>
  </si>
  <si>
    <t>Module émetteur FSO.</t>
  </si>
  <si>
    <t>Module récepteur FSO.</t>
  </si>
  <si>
    <t>Transistors THF.</t>
  </si>
  <si>
    <t>Ampli-op à large bande de fréquences.</t>
  </si>
  <si>
    <t>Modulateur Mach-Zehnder.</t>
  </si>
  <si>
    <t>Contrôleurs de polarisation.</t>
  </si>
  <si>
    <t>Isolateurs.</t>
  </si>
  <si>
    <t>Atténuateurs.</t>
  </si>
  <si>
    <t>Amplificateurs EDFA.</t>
  </si>
  <si>
    <t> Filtre passe bas de Bessel.</t>
  </si>
  <si>
    <t>moteur sans balais de 1000kv (brushless)</t>
  </si>
  <si>
    <t>30A Brushless ESC</t>
  </si>
  <si>
    <t xml:space="preserve">Batteries LIPO </t>
  </si>
  <si>
    <t>hélices</t>
  </si>
  <si>
    <t>Transistors bipolaires FMMTL618</t>
  </si>
  <si>
    <t>Phototransistors TCMT1100</t>
  </si>
  <si>
    <t>Modules Emetteur-Récepteur (X2 et XPAK)</t>
  </si>
  <si>
    <t>Module Emetteur-Récepteur à fibre (SEL 2812).</t>
  </si>
  <si>
    <t>Support de transmission à fibre (1km, 2km)</t>
  </si>
  <si>
    <t>Multimètres</t>
  </si>
  <si>
    <t>Plaques d’essai (Maxi, Mini, Micro)</t>
  </si>
  <si>
    <t>Sondesd’oscilloscope et de mesure</t>
  </si>
  <si>
    <t>fer à souderde différentes têtes de Soudage</t>
  </si>
  <si>
    <t>Photorésistance</t>
  </si>
  <si>
    <t>Diodes Laser</t>
  </si>
  <si>
    <t>Diode Led</t>
  </si>
  <si>
    <t>(40, 50,100)</t>
  </si>
  <si>
    <t>Point d’accès</t>
  </si>
  <si>
    <t>Switch  24 PORT</t>
  </si>
  <si>
    <t xml:space="preserve">Routeur </t>
  </si>
  <si>
    <t>Câbles réseaux Ethernet (catégorie 6)</t>
  </si>
  <si>
    <t xml:space="preserve">CÂBLE COAXIAL RG 58 </t>
  </si>
  <si>
    <t xml:space="preserve">BNC connectors for RG 58 </t>
  </si>
  <si>
    <t>MULTIPLIEUR AD633</t>
  </si>
  <si>
    <t xml:space="preserve">Adaptateur BNC femelle type T </t>
  </si>
  <si>
    <t xml:space="preserve">Résistance variable à connecteurs BNC </t>
  </si>
  <si>
    <t>SMA female PCB edge mount-SMA-KE PCB size 1.6mm</t>
  </si>
  <si>
    <t>50 mètre</t>
  </si>
  <si>
    <t>CÂBLE COAXIAL RG 58 50 mètre</t>
  </si>
  <si>
    <t>ARDUINO UNO R3 Atmega328 DIP</t>
  </si>
  <si>
    <t>ARDUINO MEGA 2560 R3 ATmega16U2</t>
  </si>
  <si>
    <t>ARDUINO UNO R3 Atmega328 DIP + Câble USB</t>
  </si>
  <si>
    <t>ARDUINO MEGA 2560 R3 ATmega16U2 + Câble USB</t>
  </si>
  <si>
    <t>ESP32-Cam + antenne</t>
  </si>
  <si>
    <t>Module L298N</t>
  </si>
  <si>
    <t>MAX30102</t>
  </si>
  <si>
    <t>Capteur de pouls MAX30102</t>
  </si>
  <si>
    <t>Module RFID RC522</t>
  </si>
  <si>
    <t>Capteur de son INMP441</t>
  </si>
  <si>
    <t>Capteur de pression</t>
  </si>
  <si>
    <t>Capteur de son omni-directionnel INMP441</t>
  </si>
  <si>
    <t>Module capteur de flamme</t>
  </si>
  <si>
    <t>Module capteur de flamme 4 pins</t>
  </si>
  <si>
    <t>Module capteur des signaux musculaires EMG</t>
  </si>
  <si>
    <t>Module RFID RC522 + carte + tag</t>
  </si>
  <si>
    <t>Module gyroscope MPU6050</t>
  </si>
  <si>
    <t>Module relais 5v 1 canal</t>
  </si>
  <si>
    <t>Afficheur LCD 16x2 avec I2C</t>
  </si>
  <si>
    <t>Afficheur LCD 16x2 avec module I2C</t>
  </si>
  <si>
    <t>Module capteur de pression HX710B</t>
  </si>
  <si>
    <t>RASPberry Pi 4 4Gb + accessoires (ventilateur, dissipateur de chaleur, boitier, carte mémoire 32Gb, chargeur, câble micro HDMI)+ CAMERA</t>
  </si>
  <si>
    <t>Caméra raspberry 8mp v2</t>
  </si>
  <si>
    <t>RASPberry Pi 4 4Gb + accessoires (ventilateur, dissipateur de chaleur, boitier, carte mémoire 32Gb, chargeur, câble micro HDMI)</t>
  </si>
  <si>
    <t>Raspberry Pi 4 4Gb + accessoires (ventilateur, dissipateur de chaleur, boitier, carte mémoire 32Gb, chargeur, câble micro HDMI)</t>
  </si>
  <si>
    <t>Amplificateur à très haute fréquence MOSFET BSS123 Fairchild</t>
  </si>
  <si>
    <t>Modules XBee S2C</t>
  </si>
  <si>
    <t>Zigbee shield pour XBee S2C</t>
  </si>
  <si>
    <t>Servomoteur MG90S</t>
  </si>
  <si>
    <t>Servomotor MG996R</t>
  </si>
  <si>
    <t>Lecteur optique d’empreintes digitales FPM10A</t>
  </si>
  <si>
    <t>Capteur d'humidité du sol</t>
  </si>
  <si>
    <t>Capteur d'humidité du sol capacitif</t>
  </si>
  <si>
    <t>Capteur d'humidité du sol capacitif v1.2</t>
  </si>
  <si>
    <t>Capteur de fréquence cardiaque Gravity DFRobot</t>
  </si>
  <si>
    <t>Module capteur de suiveur de ligne TCRT5000</t>
  </si>
  <si>
    <t>Panneaux solaire  6V 5W</t>
  </si>
  <si>
    <t>Panneaux solaire12V 100W</t>
  </si>
  <si>
    <t>LM2596 DC-DC convertisseur de puissance STEP DOWN</t>
  </si>
  <si>
    <t>GT511C1R</t>
  </si>
  <si>
    <t>Fils jumpers 20cm 40Male-Male + 40Male-Femelle + 40Femelle-Femelle</t>
  </si>
  <si>
    <t>Capteur de débit d’eau YF-S201</t>
  </si>
  <si>
    <t>12V DC Moteur avec Encodeur 110 RPM</t>
  </si>
  <si>
    <t>Plateforme robot mobile châssis avec 2 roues</t>
  </si>
  <si>
    <t>Plateforme robot mobile (châssis avec 2 roues)</t>
  </si>
  <si>
    <t>Module GPS ublox Neo 6M</t>
  </si>
  <si>
    <t>Plateforme robot mobile (châssis avec 4 roues)</t>
  </si>
  <si>
    <t>Capteur ultrason HC-SR04</t>
  </si>
  <si>
    <t>Module capteur infrarouge de proximité</t>
  </si>
  <si>
    <t>Plateforme robot mobile (châssis 2 étage avec 4 roues mecanum)</t>
  </si>
  <si>
    <t>Capteur musculaire Myoware v2.0 Sparkfun</t>
  </si>
  <si>
    <t>carte RTL.SDR v2 avec antenne polyvalente</t>
  </si>
  <si>
    <t>carte RTL SDR v3 avec antenne polyvalente</t>
  </si>
  <si>
    <t>carte RTL SDR v3 avec antenne et accessoires</t>
  </si>
  <si>
    <t>serial cable antenna</t>
  </si>
  <si>
    <t>Lecteur d’empreintes digitales (GT-521F52)</t>
  </si>
  <si>
    <t>circuit intégré NE555</t>
  </si>
  <si>
    <t>Capteur de tension  LEM LV25-P</t>
  </si>
  <si>
    <t>Circuit CD4046</t>
  </si>
  <si>
    <t>VCO LM566</t>
  </si>
  <si>
    <t>Kit de développement IoT zigbee Mesh kit XKB2-Z7T-WZM</t>
  </si>
  <si>
    <t>Module émetteur pour la transmission par fibre optique</t>
  </si>
  <si>
    <t>Module récepteur pour la transmission par fibre optique</t>
  </si>
  <si>
    <t>Module émetteur/récepteur de fibre optique 1.25G 20 km</t>
  </si>
  <si>
    <t>Cordon de fibres optiques 100m</t>
  </si>
  <si>
    <t>Module émetteur FSO</t>
  </si>
  <si>
    <t>Controleur ESC 40A Hobbywing Skywalker</t>
  </si>
  <si>
    <t>Brushless Emax 980kv</t>
  </si>
  <si>
    <t>Hélice 1045 CC + CCW</t>
  </si>
  <si>
    <t>Plaques d’essai 830 points</t>
  </si>
  <si>
    <t>Plaques d’essai 400 points</t>
  </si>
  <si>
    <t>Plaques d’essai 170 points</t>
  </si>
  <si>
    <t>Diodes Laser 5v 940nm</t>
  </si>
  <si>
    <t>Diode Led 5mm</t>
  </si>
  <si>
    <t>Multimètres Pros'kit MT1750</t>
  </si>
  <si>
    <t>Multimètres Pros'kit MT1706</t>
  </si>
  <si>
    <t>Sondes d’oscilloscope et de mesure</t>
  </si>
  <si>
    <t xml:space="preserve">Switch administrable niveau 2 24 PORT </t>
  </si>
  <si>
    <t>Switch administrable niveau 2 24 PORT SG-2424</t>
  </si>
  <si>
    <t>Switch administrable niveau 2 24 PORT TL-SG-2424</t>
  </si>
  <si>
    <t>Câbles réseaux Ethernet (catégorie 6) 100m</t>
  </si>
  <si>
    <t>9000 DA</t>
  </si>
  <si>
    <t>Routeur AC23 AC2100 wifi double bande</t>
  </si>
  <si>
    <t>Caméra infrarouge pour raspberry</t>
  </si>
  <si>
    <t>Caméra thermique pour raspberry</t>
  </si>
  <si>
    <t>Caméra thermique pour raspberry MLX90640</t>
  </si>
  <si>
    <t>Batteries 12 V 4Ah</t>
  </si>
  <si>
    <t>Capteur UV ML8511</t>
  </si>
  <si>
    <t>Cordon de fibres optiques 30m</t>
  </si>
  <si>
    <t>Diode Led 5mm (100 pièces)</t>
  </si>
  <si>
    <t>Cloud Pi</t>
  </si>
  <si>
    <t>Page 3/3 de la facture N° 2023-0002</t>
  </si>
  <si>
    <t>Page 2/3 de la facture N° 2023-0002</t>
  </si>
  <si>
    <t>Page 1/3</t>
  </si>
  <si>
    <t>TVA (19%)</t>
  </si>
  <si>
    <t>0,00</t>
  </si>
  <si>
    <t>Facture arrêtée à la somme:</t>
  </si>
  <si>
    <t>Un million Quatre-cent-quatre-vingts-sept Mille  Neuf-cent-cinquante Dinar Algérien</t>
  </si>
  <si>
    <t xml:space="preserve">**  Facture Proforma        </t>
  </si>
  <si>
    <t xml:space="preserve">   N°:</t>
  </si>
  <si>
    <r>
      <t xml:space="preserve">   N</t>
    </r>
    <r>
      <rPr>
        <sz val="12"/>
        <color theme="1"/>
        <rFont val="Times New Roman"/>
      </rPr>
      <t>°</t>
    </r>
    <r>
      <rPr>
        <b/>
        <sz val="12"/>
        <color theme="1"/>
        <rFont val="Times New Roman"/>
      </rPr>
      <t>:</t>
    </r>
  </si>
  <si>
    <t>2023-0023</t>
  </si>
  <si>
    <t>**</t>
  </si>
  <si>
    <t xml:space="preserve">**  Facture         </t>
  </si>
  <si>
    <t>2023-0003</t>
  </si>
  <si>
    <t xml:space="preserve">**  Facture N°:         </t>
  </si>
  <si>
    <t>Multimètres numérique de bonne marque</t>
  </si>
  <si>
    <t>Fer à Soudé 60W/220V</t>
  </si>
  <si>
    <t>Pâte à souder</t>
  </si>
  <si>
    <t>Etein</t>
  </si>
  <si>
    <t>Pompe à dessouder</t>
  </si>
  <si>
    <t>Gaines thermiques</t>
  </si>
  <si>
    <t>Pistolet à colle chaude de bonne marque 40W</t>
  </si>
  <si>
    <t>Baton de colle chaude</t>
  </si>
  <si>
    <t>Piles de bon marque 1.5V</t>
  </si>
  <si>
    <t>Câble Dupont, de 10 CM, 20pin (Male/Femelle, male/male)</t>
  </si>
  <si>
    <t>LCD 4x16 + IC2</t>
  </si>
  <si>
    <t>Etau d'éléctronicien avec loupe</t>
  </si>
  <si>
    <t>Pince à long bec (135mm)</t>
  </si>
  <si>
    <t>Pince à dénuder / à sertir robustes (8")</t>
  </si>
  <si>
    <t>Pince coupante diagonale (115mm)</t>
  </si>
  <si>
    <t>Pince coupante (110mm)</t>
  </si>
  <si>
    <t>Pincea denuder 0.75 - 1 - 1.5 - 2.5 - 4 - 6MM</t>
  </si>
  <si>
    <t>JEUX DE TOURNEVIS BASIC 10PCS</t>
  </si>
  <si>
    <t>MOSFET 1000v/12 A</t>
  </si>
  <si>
    <t>BC546:NPN-Uni, 80V, 0,1A, 0,5W, 300Mhz</t>
  </si>
  <si>
    <t>Mini perceuse portatif pour carte PCB</t>
  </si>
  <si>
    <t>jeu de foret de Perçage(O:0,5mm-1mmm)</t>
  </si>
  <si>
    <t>Fiches Banane Femelle</t>
  </si>
  <si>
    <t>Plexiglass : transparent + blanche en (m2)</t>
  </si>
  <si>
    <t>Lot de Leds (rouges+vertes+jaune)</t>
  </si>
  <si>
    <t>Régulateur:7905-7912-7924</t>
  </si>
  <si>
    <t>RELAIS 6V -12V-24V-2RT</t>
  </si>
  <si>
    <t>Interrupteur Switch bipolaire</t>
  </si>
  <si>
    <t>Interrupteur Switch Unipolaire</t>
  </si>
  <si>
    <t>Potentionmetre 1K -10K-100k a tige</t>
  </si>
  <si>
    <t>Assortie de Resistances 1/4W)</t>
  </si>
  <si>
    <t>Plaque d'essai 1680 points avec 3 bornes de connexion</t>
  </si>
  <si>
    <t>Lot de Fusible petit model (0.5A, 1A, 2A,5A)</t>
  </si>
  <si>
    <t>EPOXY 1 FACE 100x50mm 16/10e PROF</t>
  </si>
  <si>
    <t>Page 2/2 de la facture N° 2023-0003</t>
  </si>
  <si>
    <t>Page 1/2</t>
  </si>
  <si>
    <t xml:space="preserve">Page 2/2 de la facture N° </t>
  </si>
  <si>
    <t>Dinar Algérien</t>
  </si>
  <si>
    <t>Cinq cent treize Milles Cinq cents soixante dix Dinar Algérien</t>
  </si>
  <si>
    <t>Cinq cent treize Milles  Soixante dix Dinar Algérien</t>
  </si>
  <si>
    <t>Arduino Uno</t>
  </si>
  <si>
    <t>Kit RFID RC522</t>
  </si>
  <si>
    <t>Module relais 5v 1ch</t>
  </si>
  <si>
    <t>Arduino Uno Rev.3 DIP-16 + câble</t>
  </si>
  <si>
    <t>Arduino Nano Atmega328</t>
  </si>
  <si>
    <t>Arduino Mega Rev.3 mega16U2 + câble</t>
  </si>
  <si>
    <t>Carte RFID 13.56MhZ</t>
  </si>
  <si>
    <t>Capteur de force 50Kg + module XH711</t>
  </si>
  <si>
    <t>Capteur de poids 20kg</t>
  </si>
  <si>
    <t>Fils jumpers 40MM 40MF 40FF</t>
  </si>
  <si>
    <t>Module 7 segments 8 digits</t>
  </si>
  <si>
    <t>Adaptateur alimentation 12v 2A</t>
  </si>
  <si>
    <t>Adaptateur alimentation 5v 3A</t>
  </si>
  <si>
    <t>Ecran LCD 16x2 avec I2C</t>
  </si>
  <si>
    <t>Pompe à eau 12v étanche</t>
  </si>
  <si>
    <t>MT3608</t>
  </si>
  <si>
    <t>Module élévateur 0.9-5v</t>
  </si>
  <si>
    <t>Page 1/1</t>
  </si>
  <si>
    <t>2023-0005</t>
  </si>
  <si>
    <t>Soixante quatorze Mille Cinquante Dinar Algérien</t>
  </si>
  <si>
    <t>Module capteur de gaz MQ-4</t>
  </si>
  <si>
    <t>Module capteur de gaz MQ-2</t>
  </si>
  <si>
    <t>Module capteur de gaz MQ-135</t>
  </si>
  <si>
    <t>Module capteur de gaz MQ-8</t>
  </si>
  <si>
    <t>Module capteur de gaz MQ-6</t>
  </si>
  <si>
    <t>Pompe à air 12v</t>
  </si>
  <si>
    <t>Module XH711</t>
  </si>
  <si>
    <t>Jauge de contrainte BF350</t>
  </si>
  <si>
    <t>Capteur de force FSR402</t>
  </si>
  <si>
    <t>Module TXS0108E</t>
  </si>
  <si>
    <t>Arduino mega 2560 Mega16U2</t>
  </si>
  <si>
    <t>Ecran 16x2 avec I2C</t>
  </si>
  <si>
    <t>2024-0001</t>
  </si>
  <si>
    <t>Cent trente cinq milles six cents soixante cinq Dinar Algérien</t>
  </si>
  <si>
    <t>2024-0002</t>
  </si>
  <si>
    <t>Date de facture: 28/04/2024</t>
  </si>
  <si>
    <t>Code du client: CLU08042023</t>
  </si>
  <si>
    <t>Nom du client: Centre de Recherche en Environnement</t>
  </si>
  <si>
    <t>Adresse: Centre de Recherche en Environnement: Château Alzon; Rue BOUGHAZI Said, Annaba, 23000, Algérie</t>
  </si>
  <si>
    <t>Date de facture:</t>
  </si>
  <si>
    <t xml:space="preserve">Code du client: </t>
  </si>
  <si>
    <t>arduino mega 2560 mega 16U2 avec cable</t>
  </si>
  <si>
    <t>arduino Uno R3 DIP-16 avec cable</t>
  </si>
  <si>
    <t>ESP32cam</t>
  </si>
  <si>
    <t>afficheur LCD 16x2 avec I2C</t>
  </si>
  <si>
    <t>Batterie 12v 7Ah</t>
  </si>
  <si>
    <t>Batterie 9v rechargeable</t>
  </si>
  <si>
    <t>Batterie 6v 7Ah</t>
  </si>
  <si>
    <t>Résistances 100 Ohm -220k (81 valeurs)</t>
  </si>
  <si>
    <t>Résistance 100 Ohm -220k (81 valeurs)</t>
  </si>
  <si>
    <t>capteur ultrason SR-04</t>
  </si>
  <si>
    <t>capteur de température LM35</t>
  </si>
  <si>
    <t>capteur de températeure LM35</t>
  </si>
  <si>
    <t xml:space="preserve">capteur </t>
  </si>
  <si>
    <t>capteur de tension B25</t>
  </si>
  <si>
    <t>Module GSM sim800L</t>
  </si>
  <si>
    <t>Module Wifi ESP32 WROOM32</t>
  </si>
  <si>
    <t>capteur de tension B25 LM36</t>
  </si>
  <si>
    <t>capteur de tension B25 LM36 kit modules capteurs de gaz(MQ-2,MQ-3,MQ4,,,,)</t>
  </si>
  <si>
    <t>Deux cent quatre vingt dix neuf mille neuf cent quatre vingt quinze Dinar Algérien</t>
  </si>
  <si>
    <t>Deux cent quatre-vingt dix neuf mille neuf cent quatre-vingt quinze Dinar Algérien</t>
  </si>
  <si>
    <t>Bon de commande:</t>
  </si>
  <si>
    <t>0010 du 30/04/2024</t>
  </si>
  <si>
    <t>Adresse: BP 511 Nouveau pôle universitaire 3, Université de Kasdi Merbah, Ouargla 30000, Algérie</t>
  </si>
  <si>
    <t>Code du client: CLU01052018</t>
  </si>
  <si>
    <t>Nom du client: Faculté des nouvelles technologies de l’information et de la communication</t>
  </si>
  <si>
    <t>M.F:</t>
  </si>
  <si>
    <t>M.F: 001330019016649</t>
  </si>
  <si>
    <t>Art.: 30010343305</t>
  </si>
  <si>
    <t>NIS: 001330015002663</t>
  </si>
  <si>
    <t>C.T: 80/717</t>
  </si>
  <si>
    <r>
      <rPr>
        <b/>
        <sz val="10"/>
        <color theme="1"/>
        <rFont val="Times New Roman"/>
      </rPr>
      <t>Bon de commande:</t>
    </r>
  </si>
  <si>
    <r>
      <rPr>
        <b/>
        <sz val="10"/>
        <color theme="1"/>
        <rFont val="Times New Roman"/>
      </rPr>
      <t>M.F:</t>
    </r>
    <r>
      <rPr>
        <sz val="10"/>
        <color theme="1"/>
        <rFont val="Times New Roman"/>
      </rPr>
      <t xml:space="preserve"> 001330019016649</t>
    </r>
  </si>
  <si>
    <r>
      <rPr>
        <b/>
        <sz val="10"/>
        <color theme="1"/>
        <rFont val="Times New Roman"/>
      </rPr>
      <t>NIS:</t>
    </r>
    <r>
      <rPr>
        <sz val="10"/>
        <color theme="1"/>
        <rFont val="Times New Roman"/>
      </rPr>
      <t xml:space="preserve"> 001330015002663</t>
    </r>
  </si>
  <si>
    <r>
      <rPr>
        <b/>
        <sz val="10"/>
        <color theme="1"/>
        <rFont val="Times New Roman"/>
      </rPr>
      <t xml:space="preserve">Art.: </t>
    </r>
    <r>
      <rPr>
        <sz val="10"/>
        <color theme="1"/>
        <rFont val="Times New Roman"/>
      </rPr>
      <t>30010343305</t>
    </r>
  </si>
  <si>
    <r>
      <rPr>
        <b/>
        <sz val="10"/>
        <color theme="1"/>
        <rFont val="Times New Roman"/>
      </rPr>
      <t>C.T:</t>
    </r>
    <r>
      <rPr>
        <sz val="10"/>
        <color theme="1"/>
        <rFont val="Times New Roman"/>
      </rPr>
      <t xml:space="preserve"> 80/717</t>
    </r>
  </si>
  <si>
    <r>
      <rPr>
        <b/>
        <sz val="10"/>
        <color theme="1"/>
        <rFont val="Times New Roman"/>
      </rPr>
      <t xml:space="preserve">Code du client: </t>
    </r>
    <r>
      <rPr>
        <sz val="10"/>
        <color theme="1"/>
        <rFont val="Times New Roman"/>
      </rPr>
      <t>CLU01052018</t>
    </r>
  </si>
  <si>
    <r>
      <rPr>
        <b/>
        <sz val="10"/>
        <color theme="1"/>
        <rFont val="Times New Roman"/>
      </rPr>
      <t xml:space="preserve">Nom du client: </t>
    </r>
    <r>
      <rPr>
        <sz val="10"/>
        <color theme="1"/>
        <rFont val="Times New Roman"/>
      </rPr>
      <t>Faculté des nouvelles technologies de l’information et de la communication</t>
    </r>
  </si>
  <si>
    <r>
      <rPr>
        <b/>
        <sz val="10"/>
        <color theme="1"/>
        <rFont val="Times New Roman"/>
      </rPr>
      <t xml:space="preserve">Adresse: </t>
    </r>
    <r>
      <rPr>
        <sz val="10"/>
        <color theme="1"/>
        <rFont val="Times New Roman"/>
      </rPr>
      <t>BP 511 Nouveau pôle universitaire 3, Université de Kasdi Merbah, Ouargla 30000, Algérie</t>
    </r>
  </si>
  <si>
    <r>
      <rPr>
        <b/>
        <sz val="10"/>
        <color theme="1"/>
        <rFont val="Times New Roman"/>
      </rPr>
      <t>Date de facture:</t>
    </r>
  </si>
  <si>
    <t>2024-0003</t>
  </si>
  <si>
    <t>Nom du client: Université de Tamenrasset</t>
  </si>
  <si>
    <r>
      <rPr>
        <b/>
        <sz val="10"/>
        <color theme="1"/>
        <rFont val="Times New Roman"/>
      </rPr>
      <t>Nom du client: Université de Tamenrasset</t>
    </r>
  </si>
  <si>
    <t xml:space="preserve">NIS: </t>
  </si>
  <si>
    <r>
      <rPr>
        <b/>
        <sz val="10"/>
        <color theme="1"/>
        <rFont val="Times New Roman"/>
      </rPr>
      <t>NIS:</t>
    </r>
    <r>
      <rPr>
        <sz val="10"/>
        <color theme="1"/>
        <rFont val="Times New Roman"/>
      </rPr>
      <t xml:space="preserve"> </t>
    </r>
  </si>
  <si>
    <t xml:space="preserve">M.F: </t>
  </si>
  <si>
    <r>
      <rPr>
        <b/>
        <sz val="10"/>
        <color theme="1"/>
        <rFont val="Times New Roman"/>
      </rPr>
      <t>M.F:</t>
    </r>
    <r>
      <rPr>
        <sz val="10"/>
        <color theme="1"/>
        <rFont val="Times New Roman"/>
      </rPr>
      <t xml:space="preserve"> </t>
    </r>
  </si>
  <si>
    <t xml:space="preserve">C.T: </t>
  </si>
  <si>
    <r>
      <rPr>
        <b/>
        <sz val="10"/>
        <color theme="1"/>
        <rFont val="Times New Roman"/>
      </rPr>
      <t>C.T:</t>
    </r>
    <r>
      <rPr>
        <sz val="10"/>
        <color theme="1"/>
        <rFont val="Times New Roman"/>
      </rPr>
      <t xml:space="preserve"> </t>
    </r>
  </si>
  <si>
    <t xml:space="preserve">Art.: </t>
  </si>
  <si>
    <r>
      <rPr>
        <b/>
        <sz val="10"/>
        <color theme="1"/>
        <rFont val="Times New Roman"/>
      </rPr>
      <t xml:space="preserve">Art.: </t>
    </r>
  </si>
  <si>
    <t xml:space="preserve"> du </t>
  </si>
  <si>
    <t>Bon de commande: ....</t>
  </si>
  <si>
    <r>
      <rPr>
        <b/>
        <sz val="10"/>
        <color theme="1"/>
        <rFont val="Times New Roman"/>
      </rPr>
      <t>Bon de commande: ....</t>
    </r>
  </si>
  <si>
    <t>Adresse: Université de Tamenrasset, Tamenrasset, 11000, Algérie</t>
  </si>
  <si>
    <r>
      <rPr>
        <b/>
        <sz val="10"/>
        <color theme="1"/>
        <rFont val="Times New Roman"/>
      </rPr>
      <t xml:space="preserve">Adresse: </t>
    </r>
    <r>
      <rPr>
        <sz val="10"/>
        <color theme="1"/>
        <rFont val="Times New Roman"/>
      </rPr>
      <t>Université de Tamenrasset, Tamenrasset, 11000, Algérie</t>
    </r>
  </si>
  <si>
    <r>
      <rPr>
        <b/>
        <sz val="10"/>
        <color theme="1"/>
        <rFont val="Times New Roman"/>
      </rPr>
      <t xml:space="preserve">Nom du client: </t>
    </r>
    <r>
      <rPr>
        <sz val="10"/>
        <color theme="1"/>
        <rFont val="Times New Roman"/>
      </rPr>
      <t>Université de Tamenrasset</t>
    </r>
  </si>
  <si>
    <t>Kit guide et roulement pour CNC 1500x1500 cm</t>
  </si>
  <si>
    <t>Kit Imprimante 3D</t>
  </si>
  <si>
    <t>Mini CNC pour fabrication de PCB</t>
  </si>
  <si>
    <t>Tripod turnstile</t>
  </si>
  <si>
    <t>LC Meter</t>
  </si>
  <si>
    <t>Moteur pour un Tracker solaire à 10 Kg (Vertical et Horizontale)</t>
  </si>
  <si>
    <t>Huit cent trente-et-un Mille Dinar Algérien</t>
  </si>
  <si>
    <t>Huit cents trente-et-un Mille Dinar Algérien</t>
  </si>
  <si>
    <t>Moteur pour un Tracker solaire à 10 Kg (Vertical &amp; Horizontale)</t>
  </si>
  <si>
    <t>Code du client: CLU28052018</t>
  </si>
  <si>
    <r>
      <rPr>
        <b/>
        <sz val="10"/>
        <color theme="1"/>
        <rFont val="Times New Roman"/>
      </rPr>
      <t xml:space="preserve">Code du client: </t>
    </r>
    <r>
      <rPr>
        <sz val="10"/>
        <color theme="1"/>
        <rFont val="Times New Roman"/>
      </rPr>
      <t>CLU28052018</t>
    </r>
  </si>
  <si>
    <t>2024-0006</t>
  </si>
  <si>
    <t xml:space="preserve">Page 1/4 de la facture proforma N° </t>
  </si>
  <si>
    <r>
      <t>Page 1/4 de la facture proforma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</si>
  <si>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>Pack IA &amp; Vision NVIDIA Jetson Nano 4Go contient:</t>
  </si>
  <si>
    <t>Pack IA NVIDIA Jetson Xavier NX (8GB) contient:</t>
  </si>
  <si>
    <t>Pack Développeur Raspberry Pi4 8Go contient :</t>
  </si>
  <si>
    <r>
      <t xml:space="preserve">Pack Développeur Raspberry Pi4 8Go </t>
    </r>
    <r>
      <rPr>
        <sz val="10"/>
        <color rgb="FF1C1917"/>
        <rFont val="Times New Roman"/>
      </rPr>
      <t>contient :</t>
    </r>
  </si>
  <si>
    <t xml:space="preserve">Pyranomère professionel (0-2000 W/m2) </t>
  </si>
  <si>
    <r>
      <rPr>
        <sz val="10"/>
        <color theme="1"/>
        <rFont val="Times New Roman"/>
      </rPr>
      <t>Pyranomère professionel (0-2000 W/m</t>
    </r>
    <r>
      <rPr>
        <vertAlign val="superscript"/>
        <sz val="10"/>
        <color theme="1"/>
        <rFont val="Times New Roman"/>
      </rPr>
      <t>2</t>
    </r>
    <r>
      <rPr>
        <sz val="10"/>
        <color theme="1"/>
        <rFont val="Times New Roman"/>
      </rPr>
      <t xml:space="preserve">) </t>
    </r>
  </si>
  <si>
    <t xml:space="preserve">Ecran tactile 2.4 inch pour Arduino </t>
  </si>
  <si>
    <t xml:space="preserve">Ecran tactile 3.5 inch pour Raspberry </t>
  </si>
  <si>
    <t>Ecran tactile 5 inch pour Raspberry</t>
  </si>
  <si>
    <t>Caméra OV5647 vision de nuit</t>
  </si>
  <si>
    <t>Carte de développement PYNQ-Z2</t>
  </si>
  <si>
    <t>Jetson Orin Developer kit</t>
  </si>
  <si>
    <t>Teensy  4.0</t>
  </si>
  <si>
    <t>Seeeduino</t>
  </si>
  <si>
    <t>Arduino nano Atmega328 16Mhz avec câble USB</t>
  </si>
  <si>
    <t>Arduino UNO Rev 3 DIP-16 avec câble USB</t>
  </si>
  <si>
    <t>arduino mega r3 2560 Mega16U2</t>
  </si>
  <si>
    <t>Capteur ultrasons JSN-SR04T</t>
  </si>
  <si>
    <t>Capteur ultrason hc-sr04</t>
  </si>
  <si>
    <t>Moteur driver L298N (moteur DC et pas-à-pas)</t>
  </si>
  <si>
    <t>Moteur driver MX1508</t>
  </si>
  <si>
    <t xml:space="preserve">Driver ULN2003 </t>
  </si>
  <si>
    <t>Moteur DC 12v 130RPM avec encodeur optique</t>
  </si>
  <si>
    <t>Électroaimant  MAG25N</t>
  </si>
  <si>
    <t>Capteur de tension B25</t>
  </si>
  <si>
    <t>Capteur de courant et tension INA219</t>
  </si>
  <si>
    <t>Capteur de courant ACS712 5A</t>
  </si>
  <si>
    <t>Capteur de courant ACS712  20A</t>
  </si>
  <si>
    <t>LoRa RFM98W 433MHZ</t>
  </si>
  <si>
    <t>Module radio LoRa 433Mhz sx1278</t>
  </si>
  <si>
    <t>Module radio HC-12 433Mhz (1 km)</t>
  </si>
  <si>
    <t>Relay SRD-05VDC-SL-C 5V</t>
  </si>
  <si>
    <t>Mini  moteur vibreur</t>
  </si>
  <si>
    <t xml:space="preserve">Page 2/4 de la facture proforma N° </t>
  </si>
  <si>
    <r>
      <t>Page 2/4 de la facture proforma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</si>
  <si>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>Serrure électromagnétique 12v mini</t>
  </si>
  <si>
    <t>Spectroscopy Sensor AS7265x</t>
  </si>
  <si>
    <t>MOSFET IR2213</t>
  </si>
  <si>
    <t>MOSFET  IRF1407PbF</t>
  </si>
  <si>
    <t xml:space="preserve">Optocoupler 4n35 </t>
  </si>
  <si>
    <t xml:space="preserve">Optocoupler LTV847 </t>
  </si>
  <si>
    <t xml:space="preserve">Circuit integer LM3914 controller de LED </t>
  </si>
  <si>
    <t>Nema 23 avec driver DM542</t>
  </si>
  <si>
    <t>Potentiometre de précision 3590S</t>
  </si>
  <si>
    <t>Capteur de luminosité GY-30 BH1750FVI</t>
  </si>
  <si>
    <t>TCA9548A I2C Multiplexer</t>
  </si>
  <si>
    <t>Servo moteur TD-8135MG</t>
  </si>
  <si>
    <t>Servo moteur MG90s métallique</t>
  </si>
  <si>
    <t xml:space="preserve">Afficheur 7 segments 1 digit </t>
  </si>
  <si>
    <t>Afficheur 7 segments 4 digit</t>
  </si>
  <si>
    <t xml:space="preserve">Capteur de gaz MQ-2 </t>
  </si>
  <si>
    <t xml:space="preserve">Capteur de gaz MQ-7 </t>
  </si>
  <si>
    <t>Capteur de gaz MQ-3</t>
  </si>
  <si>
    <t xml:space="preserve">Capteur de gaz MQ-5 </t>
  </si>
  <si>
    <t>Capteur de gaz MQ-135</t>
  </si>
  <si>
    <t>Capteur de gaz MQ-8</t>
  </si>
  <si>
    <t>Capteur de gaz MQ-9</t>
  </si>
  <si>
    <t>GPS neo 6M</t>
  </si>
  <si>
    <t>Module GPS ublox neo M8n</t>
  </si>
  <si>
    <t>Module gsm SIM800L v2</t>
  </si>
  <si>
    <t>Potentiomètre WH148 3 pins</t>
  </si>
  <si>
    <t>DFRobot - Photoelectric Liquid Level Sensor </t>
  </si>
  <si>
    <t xml:space="preserve">Capteur d'empreintes FPM10A </t>
  </si>
  <si>
    <t xml:space="preserve">Capteur K-thermocouple avec module MAX6675 </t>
  </si>
  <si>
    <t xml:space="preserve">Plaque d’essaie 400 points </t>
  </si>
  <si>
    <t xml:space="preserve">Plaque d’essaie 830 points </t>
  </si>
  <si>
    <t>Pin header Male 40p</t>
  </si>
  <si>
    <t xml:space="preserve">Pin header Femelle 40p </t>
  </si>
  <si>
    <t>Pin header Femelle Ronde de haute qualité 40p</t>
  </si>
  <si>
    <t xml:space="preserve">cellule solaire 1W 6v </t>
  </si>
  <si>
    <t xml:space="preserve">cellule solaire 4.5W 6v </t>
  </si>
  <si>
    <t xml:space="preserve">cellule solaire monocristalline </t>
  </si>
  <si>
    <t>Panneau solaire 100 W</t>
  </si>
  <si>
    <t>Ecran LCD 16x2 with I2C</t>
  </si>
  <si>
    <t xml:space="preserve">Ecran LCD2004 16x4 avec I2C </t>
  </si>
  <si>
    <t>bornier 2 pins</t>
  </si>
  <si>
    <t>jumpers 20cm 40 MM</t>
  </si>
  <si>
    <t>jumpers 20cm 40 MF</t>
  </si>
  <si>
    <t>jumpers 20cm 40 FF</t>
  </si>
  <si>
    <t>Module clavier 4x4</t>
  </si>
  <si>
    <t xml:space="preserve">Page 3/4 de la facture proforma N° </t>
  </si>
  <si>
    <r>
      <t>Page 3/4 de la facture proforma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</si>
  <si>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>PCB perforé simple face 18X30 cm verte</t>
  </si>
  <si>
    <t>Capteur de pression d'eau DFRobot SEN0257</t>
  </si>
  <si>
    <t>RPi T-Cobbler </t>
  </si>
  <si>
    <t>Universal AC-DC adaptor</t>
  </si>
  <si>
    <t xml:space="preserve">PIR motion sensor </t>
  </si>
  <si>
    <t>CP 2102 USB to TTL</t>
  </si>
  <si>
    <t>batteries de stockage 12V 7AH</t>
  </si>
  <si>
    <t>Codeur rotatif incrémental </t>
  </si>
  <si>
    <t>Batterie 3.7 V  rechargeable</t>
  </si>
  <si>
    <t xml:space="preserve">Bluetooth HC-05 </t>
  </si>
  <si>
    <t xml:space="preserve">Bluetooth HC-06 </t>
  </si>
  <si>
    <t>Module radio 433Mhz (émetteur + récepteu</t>
  </si>
  <si>
    <t>Module radio 2.4 Ghz nRF24L01+ PA+LNA</t>
  </si>
  <si>
    <t>Kit infrarouge (émetteur + récepteur)</t>
  </si>
  <si>
    <t>Circuit de charge pour batterie 2S</t>
  </si>
  <si>
    <t xml:space="preserve">Circuit de charge pour batterie 3S </t>
  </si>
  <si>
    <t>Circuit de charge pour batterie 4S</t>
  </si>
  <si>
    <t>Circuit de charge pour batterie 5S</t>
  </si>
  <si>
    <t>Circuit de charge pour batterie 6S</t>
  </si>
  <si>
    <t>Module boost MT3608</t>
  </si>
  <si>
    <t>Capteur de vitesse F249 Tachi-mètre</t>
  </si>
  <si>
    <t>Capteur capacitif de touche</t>
  </si>
  <si>
    <t>Capteur de température infrarouge MLX90614</t>
  </si>
  <si>
    <t>Capteur UV ultraviolet ML8511</t>
  </si>
  <si>
    <t xml:space="preserve">Capteur magnétique </t>
  </si>
  <si>
    <t>pompe à eau 12v 240L/h</t>
  </si>
  <si>
    <t xml:space="preserve">Module Gyroscope Accéléromètre MPU-9250 </t>
  </si>
  <si>
    <t xml:space="preserve">Module Gyroscope Accéléromètre MPU-6050 </t>
  </si>
  <si>
    <t xml:space="preserve">Module CAN Bus (MC2515) </t>
  </si>
  <si>
    <t>Module ADC ADS1115</t>
  </si>
  <si>
    <t>Station air-chaud et soudure Pros'kit</t>
  </si>
  <si>
    <t>Etain 150g 0.8mm</t>
  </si>
  <si>
    <t>Capteur de tension LV25-P</t>
  </si>
  <si>
    <t>Capteur de courant LA25-NP</t>
  </si>
  <si>
    <t xml:space="preserve">LED Rouge </t>
  </si>
  <si>
    <t xml:space="preserve">LED Verte </t>
  </si>
  <si>
    <t xml:space="preserve">LED Jaune  </t>
  </si>
  <si>
    <t xml:space="preserve">LED Blanche </t>
  </si>
  <si>
    <t xml:space="preserve">LED RGB </t>
  </si>
  <si>
    <t>Transistor 2n2222</t>
  </si>
  <si>
    <t>Diode  HER508</t>
  </si>
  <si>
    <t>Diode 1N4007</t>
  </si>
  <si>
    <t>Résistance 100 R</t>
  </si>
  <si>
    <t>Résistance 150 R</t>
  </si>
  <si>
    <r>
      <t xml:space="preserve">Résistance 150 </t>
    </r>
    <r>
      <rPr>
        <sz val="10"/>
        <color theme="1"/>
        <rFont val="Times New Roman"/>
      </rPr>
      <t>R</t>
    </r>
  </si>
  <si>
    <t xml:space="preserve">Page 4/4 de la facture proforma N° </t>
  </si>
  <si>
    <r>
      <t>Page 4/4 de la facture proforma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</si>
  <si>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>Résistance 200 R</t>
  </si>
  <si>
    <t xml:space="preserve">Résistance 1k </t>
  </si>
  <si>
    <t xml:space="preserve">Résistance 10k </t>
  </si>
  <si>
    <t xml:space="preserve">Résistance 100 k </t>
  </si>
  <si>
    <r>
      <t>Résistance 100 k</t>
    </r>
    <r>
      <rPr>
        <sz val="10"/>
        <color theme="1"/>
        <rFont val="Times New Roman"/>
      </rPr>
      <t xml:space="preserve"> </t>
    </r>
  </si>
  <si>
    <t>Résistance 10 R   10 W</t>
  </si>
  <si>
    <r>
      <t>Résistance 10 R</t>
    </r>
    <r>
      <rPr>
        <sz val="10"/>
        <color theme="1"/>
        <rFont val="Times New Roman"/>
      </rPr>
      <t xml:space="preserve">   10 W</t>
    </r>
  </si>
  <si>
    <t>Condensateur  47 µF /40v</t>
  </si>
  <si>
    <t>Condensateur  100 µF /40v</t>
  </si>
  <si>
    <t>Condensateur 470 µF / 40v</t>
  </si>
  <si>
    <t>Condensateur   22000 µF/40V</t>
  </si>
  <si>
    <r>
      <t xml:space="preserve">Condensateur  </t>
    </r>
    <r>
      <rPr>
        <sz val="10"/>
        <color rgb="FF4A4A4A"/>
        <rFont val="Times New Roman"/>
      </rPr>
      <t> </t>
    </r>
    <r>
      <rPr>
        <sz val="10"/>
        <color theme="1"/>
        <rFont val="Times New Roman"/>
      </rPr>
      <t>22000 µF/40V</t>
    </r>
  </si>
  <si>
    <t>Self 66 µH/5A</t>
  </si>
  <si>
    <t>Self 33 µH</t>
  </si>
  <si>
    <t>Fils émaillé 0.7mm 1kg</t>
  </si>
  <si>
    <t>Tube de cuivre 1.4mm diamètre</t>
  </si>
  <si>
    <t>Robine d'eau</t>
  </si>
  <si>
    <t>Boite de peinture noire absorbante (non flexible)</t>
  </si>
  <si>
    <t>Facture arrêtée à la somme</t>
  </si>
  <si>
    <t>Cinq million cent soixante huit milles cinq cents Dinar Algérien</t>
  </si>
  <si>
    <t>Total partiel</t>
  </si>
  <si>
    <t>Montant H.T.</t>
  </si>
  <si>
    <t xml:space="preserve">Page 1/4 de la facture  N° </t>
  </si>
  <si>
    <r>
      <t>Page 1/4 de la facture 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</si>
  <si>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 xml:space="preserve">Page 2/4 de la facture  N° </t>
  </si>
  <si>
    <r>
      <t>Page 2/4 de la facture 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</si>
  <si>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 xml:space="preserve">Page 3/4 de la facture  N° </t>
  </si>
  <si>
    <r>
      <t>Page 3/4 de la facture 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</si>
  <si>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 xml:space="preserve">Page 4/4 de la facture N° </t>
  </si>
  <si>
    <r>
      <t>Page 4/4 de la facture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</si>
  <si>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 xml:space="preserve">Page 3/4 de la facture N° </t>
  </si>
  <si>
    <r>
      <t>Page 3/4 de la facture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</si>
  <si>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 xml:space="preserve">Page 2/4 de la facture N° </t>
  </si>
  <si>
    <r>
      <t>Page 2/4 de la facture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</si>
  <si>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 xml:space="preserve">Page 1/4 de la facture N° </t>
  </si>
  <si>
    <r>
      <t>Page 1/4 de la facture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</si>
  <si>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>Tel : (+213)  5 52 06 78 07</t>
  </si>
  <si>
    <t>RC : 18A1871316-01/23 </t>
  </si>
  <si>
    <t>NIF : 15436140176011402301  NIS : 15436140176011402301</t>
  </si>
  <si>
    <t>CB : 001 00811 0300001342/91 BNA-Agence-Annaba-811</t>
  </si>
  <si>
    <t>Cite 70 Logts FNPOS Bloc 5 L61, Sidi Amar, ANNABA, 23005</t>
  </si>
  <si>
    <t xml:space="preserve"> Cloud Pi</t>
  </si>
  <si>
    <t>Tel : (+213)  5 52 06 78 07 -               Email : cloud.pi.dz@gmail.com</t>
  </si>
  <si>
    <t>Tel : (+213)  5 52 06 78 07 -  Email : cloud.pi.dz@gmail.com</t>
  </si>
  <si>
    <r>
      <rPr>
        <b/>
        <sz val="10"/>
        <color theme="1"/>
        <rFont val="Times New Roman"/>
      </rPr>
      <t xml:space="preserve">Tel : </t>
    </r>
    <r>
      <rPr>
        <sz val="10"/>
        <color theme="1"/>
        <rFont val="Times New Roman"/>
      </rPr>
      <t>(+213)  5 52 06 78 07 -  Email : cloud.pi.dz@gmail.com</t>
    </r>
  </si>
  <si>
    <r>
      <rPr>
        <b/>
        <sz val="10"/>
        <color theme="1"/>
        <rFont val="Times New Roman"/>
      </rPr>
      <t>RC :</t>
    </r>
    <r>
      <rPr>
        <sz val="10"/>
        <color theme="1"/>
        <rFont val="Times New Roman"/>
      </rPr>
      <t xml:space="preserve"> 18A1871316-01/23 </t>
    </r>
  </si>
  <si>
    <r>
      <rPr>
        <b/>
        <sz val="10"/>
        <color theme="1"/>
        <rFont val="Times New Roman"/>
      </rPr>
      <t xml:space="preserve">NIF : </t>
    </r>
    <r>
      <rPr>
        <sz val="10"/>
        <color theme="1"/>
        <rFont val="Times New Roman"/>
      </rPr>
      <t>15436140176011402301  NIS : 15436140176011402301</t>
    </r>
  </si>
  <si>
    <r>
      <rPr>
        <b/>
        <sz val="10"/>
        <color theme="1"/>
        <rFont val="Times New Roman"/>
      </rPr>
      <t>CB :</t>
    </r>
    <r>
      <rPr>
        <sz val="10"/>
        <color theme="1"/>
        <rFont val="Times New Roman"/>
      </rPr>
      <t xml:space="preserve"> 001 00811 0300001342/91 BNA-Agence-Annaba-811</t>
    </r>
  </si>
  <si>
    <t>NIF: 15436140176011402301  NIS: 15436140176011402301</t>
  </si>
  <si>
    <r>
      <rPr>
        <b/>
        <sz val="10"/>
        <color theme="1"/>
        <rFont val="Times New Roman"/>
      </rPr>
      <t xml:space="preserve">NIF: </t>
    </r>
    <r>
      <rPr>
        <sz val="10"/>
        <color theme="1"/>
        <rFont val="Times New Roman"/>
      </rPr>
      <t>15436140176011402301  </t>
    </r>
    <r>
      <rPr>
        <b/>
        <sz val="10"/>
        <color theme="1"/>
        <rFont val="Times New Roman"/>
      </rPr>
      <t>NIS:</t>
    </r>
    <r>
      <rPr>
        <sz val="10"/>
        <color theme="1"/>
        <rFont val="Times New Roman"/>
      </rPr>
      <t> 15436140176011402301</t>
    </r>
  </si>
  <si>
    <t>RC: 18A1871316-01/23 </t>
  </si>
  <si>
    <r>
      <rPr>
        <b/>
        <sz val="10"/>
        <color theme="1"/>
        <rFont val="Times New Roman"/>
      </rPr>
      <t>RC:</t>
    </r>
    <r>
      <rPr>
        <sz val="10"/>
        <color theme="1"/>
        <rFont val="Times New Roman"/>
      </rPr>
      <t xml:space="preserve"> 18A1871316-01/23 </t>
    </r>
  </si>
  <si>
    <t>Tel: (+213)  5 52 06 78 07 -  Email : cloud.pi.dz@gmail.com</t>
  </si>
  <si>
    <r>
      <rPr>
        <b/>
        <sz val="10"/>
        <color theme="1"/>
        <rFont val="Times New Roman"/>
      </rPr>
      <t xml:space="preserve">Tel: </t>
    </r>
    <r>
      <rPr>
        <sz val="10"/>
        <color theme="1"/>
        <rFont val="Times New Roman"/>
      </rPr>
      <t>(+213)  5 52 06 78 07 -  Email : cloud.pi.dz@gmail.com</t>
    </r>
  </si>
  <si>
    <t>CB: 001 00811 0300001342/91 BNA-Agence-Annaba-811</t>
  </si>
  <si>
    <r>
      <rPr>
        <b/>
        <sz val="10"/>
        <color theme="1"/>
        <rFont val="Times New Roman"/>
      </rPr>
      <t>CB:</t>
    </r>
    <r>
      <rPr>
        <sz val="10"/>
        <color theme="1"/>
        <rFont val="Times New Roman"/>
      </rPr>
      <t xml:space="preserve"> 001 00811 0300001342/91 BNA-Agence-Annaba-811</t>
    </r>
  </si>
  <si>
    <t>RC: 18A1871316-01/23            ART: 23112905611</t>
  </si>
  <si>
    <r>
      <rPr>
        <b/>
        <sz val="10"/>
        <color theme="1"/>
        <rFont val="Times New Roman"/>
      </rPr>
      <t>RC:</t>
    </r>
    <r>
      <rPr>
        <sz val="10"/>
        <color theme="1"/>
        <rFont val="Times New Roman"/>
      </rPr>
      <t xml:space="preserve"> 18A1871316-01/23            </t>
    </r>
    <r>
      <rPr>
        <b/>
        <sz val="10"/>
        <color theme="1"/>
        <rFont val="Times New Roman"/>
      </rPr>
      <t>ART:</t>
    </r>
    <r>
      <rPr>
        <sz val="10"/>
        <color theme="1"/>
        <rFont val="Times New Roman"/>
      </rPr>
      <t xml:space="preserve"> 23112905611</t>
    </r>
  </si>
  <si>
    <r>
      <rPr>
        <b/>
        <sz val="10"/>
        <color theme="1"/>
        <rFont val="Times New Roman"/>
      </rPr>
      <t>CB:</t>
    </r>
    <r>
      <rPr>
        <sz val="10"/>
        <color theme="1"/>
        <rFont val="Times New Roman"/>
      </rPr>
      <t xml:space="preserve"> </t>
    </r>
    <r>
      <rPr>
        <sz val="10"/>
        <color theme="1"/>
        <rFont val="Courier New"/>
      </rPr>
      <t>001 00811 0300001342/91 BNA-Agence-Annaba-811</t>
    </r>
  </si>
  <si>
    <r>
      <rPr>
        <b/>
        <sz val="10"/>
        <color theme="1"/>
        <rFont val="Times New Roman"/>
      </rPr>
      <t xml:space="preserve">NIF: </t>
    </r>
    <r>
      <rPr>
        <sz val="10"/>
        <color theme="1"/>
        <rFont val="Courier New"/>
      </rPr>
      <t>15436140176011402301</t>
    </r>
    <r>
      <rPr>
        <sz val="10"/>
        <color theme="1"/>
        <rFont val="Times New Roman"/>
      </rPr>
      <t xml:space="preserve">  </t>
    </r>
    <r>
      <rPr>
        <b/>
        <sz val="10"/>
        <color theme="1"/>
        <rFont val="Times New Roman"/>
      </rPr>
      <t>NIS:</t>
    </r>
    <r>
      <rPr>
        <sz val="10"/>
        <color theme="1"/>
        <rFont val="Times New Roman"/>
      </rPr>
      <t> </t>
    </r>
    <r>
      <rPr>
        <sz val="10"/>
        <color theme="1"/>
        <rFont val="Courier New"/>
      </rPr>
      <t>15436140176011402301</t>
    </r>
  </si>
  <si>
    <r>
      <rPr>
        <b/>
        <sz val="10"/>
        <color theme="1"/>
        <rFont val="Times New Roman"/>
      </rPr>
      <t>RC:</t>
    </r>
    <r>
      <rPr>
        <sz val="10"/>
        <color theme="1"/>
        <rFont val="Times New Roman"/>
      </rPr>
      <t xml:space="preserve"> </t>
    </r>
    <r>
      <rPr>
        <sz val="10"/>
        <color theme="1"/>
        <rFont val="Courier New"/>
      </rPr>
      <t>18A1871316-01/23</t>
    </r>
    <r>
      <rPr>
        <sz val="10"/>
        <color theme="1"/>
        <rFont val="Times New Roman"/>
      </rPr>
      <t xml:space="preserve">            </t>
    </r>
    <r>
      <rPr>
        <b/>
        <sz val="10"/>
        <color theme="1"/>
        <rFont val="Times New Roman"/>
      </rPr>
      <t>ART:</t>
    </r>
    <r>
      <rPr>
        <sz val="10"/>
        <color theme="1"/>
        <rFont val="Times New Roman"/>
      </rPr>
      <t xml:space="preserve"> </t>
    </r>
    <r>
      <rPr>
        <sz val="10"/>
        <color theme="1"/>
        <rFont val="Courier New"/>
      </rPr>
      <t>23112905611</t>
    </r>
  </si>
  <si>
    <t>RC: 18A1871316-01/23             ART: 23112905611</t>
  </si>
  <si>
    <r>
      <rPr>
        <b/>
        <sz val="10"/>
        <color theme="1"/>
        <rFont val="Times New Roman"/>
      </rPr>
      <t>RC:</t>
    </r>
    <r>
      <rPr>
        <sz val="10"/>
        <color theme="1"/>
        <rFont val="Times New Roman"/>
      </rPr>
      <t xml:space="preserve"> </t>
    </r>
    <r>
      <rPr>
        <sz val="10"/>
        <color theme="1"/>
        <rFont val="Courier New"/>
      </rPr>
      <t>18A1871316-01/23</t>
    </r>
    <r>
      <rPr>
        <sz val="10"/>
        <color theme="1"/>
        <rFont val="Times New Roman"/>
      </rPr>
      <t xml:space="preserve">             </t>
    </r>
    <r>
      <rPr>
        <b/>
        <sz val="10"/>
        <color theme="1"/>
        <rFont val="Times New Roman"/>
      </rPr>
      <t>ART:</t>
    </r>
    <r>
      <rPr>
        <sz val="10"/>
        <color theme="1"/>
        <rFont val="Times New Roman"/>
      </rPr>
      <t xml:space="preserve"> </t>
    </r>
    <r>
      <rPr>
        <sz val="10"/>
        <color theme="1"/>
        <rFont val="Courier New"/>
      </rPr>
      <t>23112905611</t>
    </r>
  </si>
  <si>
    <t>Tel: (+213)  5 52 06 78 07 -  Email: cloud.pi.dz@gmail.com</t>
  </si>
  <si>
    <r>
      <rPr>
        <b/>
        <sz val="10"/>
        <color theme="1"/>
        <rFont val="Times New Roman"/>
      </rPr>
      <t xml:space="preserve">Tel: </t>
    </r>
    <r>
      <rPr>
        <sz val="10"/>
        <color theme="1"/>
        <rFont val="Times New Roman"/>
      </rPr>
      <t xml:space="preserve">(+213)  5 52 06 78 07 -  </t>
    </r>
    <r>
      <rPr>
        <b/>
        <sz val="10"/>
        <color theme="1"/>
        <rFont val="Times New Roman"/>
      </rPr>
      <t>Email:</t>
    </r>
    <r>
      <rPr>
        <sz val="10"/>
        <color theme="1"/>
        <rFont val="Times New Roman"/>
      </rPr>
      <t xml:space="preserve"> cloud.pi.dz@gmail.com</t>
    </r>
  </si>
  <si>
    <t xml:space="preserve">ART: </t>
  </si>
  <si>
    <r>
      <rPr>
        <b/>
        <sz val="10"/>
        <color theme="1"/>
        <rFont val="Times New Roman"/>
      </rPr>
      <t xml:space="preserve">ART: </t>
    </r>
  </si>
  <si>
    <t xml:space="preserve">NIF: </t>
  </si>
  <si>
    <r>
      <rPr>
        <b/>
        <sz val="10"/>
        <color theme="1"/>
        <rFont val="Times New Roman"/>
      </rPr>
      <t>NIF:</t>
    </r>
    <r>
      <rPr>
        <sz val="10"/>
        <color theme="1"/>
        <rFont val="Times New Roman"/>
      </rPr>
      <t xml:space="preserve"> </t>
    </r>
  </si>
  <si>
    <t>Condensateur 22000 µF/40V</t>
  </si>
  <si>
    <r>
      <t xml:space="preserve">Condensateur </t>
    </r>
    <r>
      <rPr>
        <sz val="10"/>
        <color theme="1"/>
        <rFont val="Times New Roman"/>
      </rPr>
      <t>22000 µF/40V</t>
    </r>
  </si>
  <si>
    <t>Jetson orin developer kit</t>
  </si>
  <si>
    <t>Pack Développeur Raspberry Pi4 8Go contient : -R Raspberry pi 4 8Go RAM</t>
  </si>
  <si>
    <r>
      <t xml:space="preserve">Pack Développeur Raspberry Pi4 8Go </t>
    </r>
    <r>
      <rPr>
        <sz val="10"/>
        <color rgb="FF1C1917"/>
        <rFont val="Times New Roman"/>
      </rPr>
      <t>contient : -R Raspberry pi 4 8Go RAM</t>
    </r>
  </si>
  <si>
    <t>Pack Développeur Raspberry Pi4 8Go contient :          - Raspberry pi 4 8Go RAM                                           - Carte MicroSD 32 Go Class 10                                  - Alimentation USB-C Officielle Raspberry Pi               - Boitier en plexiglas pour Raspberry Pi                        - Ventilateur et dissipateur thermique                            - Ecran tactile HDMI 7" avec dalle capacitive              - Caméra 12Mp v3 compatible Raspberry Pi                - Câbles: HDMI, micro-HDMI vers HDMI, USB 3.0  Radiateur et pâte thermique</t>
  </si>
  <si>
    <r>
      <t xml:space="preserve">Pack Développeur Raspberry Pi4 8Go </t>
    </r>
    <r>
      <rPr>
        <sz val="10"/>
        <color rgb="FF1C1917"/>
        <rFont val="Times New Roman"/>
      </rPr>
      <t>contient :          - Raspberry pi 4 8Go RAM                                           - Carte MicroSD 32 Go Class 10                                  - Alimentation USB-C Officielle Raspberry Pi               - Boitier en plexiglas pour Raspberry Pi                        - Ventilateur et dissipateur thermique                            - Ecran tactile HDMI 7" avec dalle capacitive              - Caméra 12Mp v3 compatible Raspberry Pi                - Câbles: HDMI, micro-HDMI vers HDMI, USB 3.0  Radiateur et pâte thermique</t>
    </r>
  </si>
  <si>
    <t>Pack IA &amp; Vision NVIDIA Jetson Nano 4Go contient:                                                                         - Carte Jetson Nano:</t>
  </si>
  <si>
    <t>Pack IA &amp; Vision NVIDIA Jetson Nano 4Go contient:                                                                         - Carte Jetson Nano:                                                      - 4 Go de RAM                                                              - Processeur Quad-core ARM A57 - GPU 128-core Maxwell                                                                         - Alimentation 5v/4A avec câble USB-C                      - Carte microSD préchargée avec Linux et les outils de développement NVIDIA                                          - Caméra 12Mp v3 compatible Jetson avec câble court - Ventilateur et dissipateur thermique pour le refroidissement                                                              - Boitier pour loger et connecter tous les composants                   Câbles et accessoires pour les connexions (HDMI, USB, GPIO, etc.)</t>
  </si>
  <si>
    <r>
      <rPr>
        <b/>
        <sz val="10"/>
        <color rgb="FF1C1917"/>
        <rFont val="Times New Roman"/>
      </rPr>
      <t>Pack IA &amp; Vision NVIDIA Jetson Nano 4Go contient:</t>
    </r>
    <r>
      <rPr>
        <sz val="10"/>
        <color rgb="FF1C1917"/>
        <rFont val="Times New Roman"/>
      </rPr>
      <t xml:space="preserve">                                                                         - Carte Jetson Nano:                                                      - 4 Go de RAM                                                              - Processeur Quad-core ARM A57 - GPU 128-core Maxwell                                                                         - Alimentation 5v/4A avec câble USB-C                      - Carte microSD préchargée avec Linux et les outils de développement NVIDIA                                          - Caméra 12Mp v3 compatible Jetson avec câble court - Ventilateur et dissipateur thermique pour le refroidissement                                                              - Boitier pour loger et connecter tous les composants                   Câbles et accessoires pour les connexions (HDMI, USB, GPIO, etc.)</t>
    </r>
  </si>
  <si>
    <t>Pack IA NVIDIA Jetson Xavier NX (8GB) contient:  - Jetson Xavier NX (8GB):                                                   - 4 Go de RAM                                                              - Processeur Quad-core ARM A57 - GPU 128-core Maxwell                                                                         - Alimentation 5v/4A avec câble USB-C                      - Carte microSD préchargée avec Linux et les outils de développement NVIDIA                                          - Caméra 12Mp v3 compatible Jetson avec câble court - Ventilateur et dissipateur thermique pour le refroidissement                                                              - Boitier pour loger et connecter tous les composants                   Câbles et accessoires pour les connexions (HDMI, USB, GPIO, etc.)</t>
  </si>
  <si>
    <t>Pack IA NVIDIA Jetson Xavier NX (8GB) contient:  ▷ Jetson Xavier NX (8GB):                                                    - 384-core  NVIDIA VoltaTM architecture GPU with 48 Tensor Cores                                                                                 - 6-core NVIDIA Carmel Arm©v8.264-bit CPU        - - 6MB L2 + 4MB L3                                                                      ▷ Alimentation 5v/4A avec câble USB-C                      ▷ Carte microSD préchargée avec Linux et les outils de développement NVIDIA                                          ▷ Caméra 12Mp v3 compatible Jetson avec câble court                                                                            ▷ Ventilateur et dissipateur thermique pour le refroidissement                                                              ▷ Boitier pour loger et connecter tous les composants                   Câbles et accessoires pour les connexions (HDMI, USB, GPIO, etc.)</t>
  </si>
  <si>
    <r>
      <t xml:space="preserve">Pack IA NVIDIA Jetson Xavier NX (8GB) contient:  </t>
    </r>
    <r>
      <rPr>
        <sz val="10"/>
        <color rgb="FF1C1917"/>
        <rFont val="Arial"/>
      </rPr>
      <t>▷</t>
    </r>
    <r>
      <rPr>
        <sz val="10"/>
        <color rgb="FF1C1917"/>
        <rFont val="Times New Roman"/>
      </rPr>
      <t xml:space="preserve"> Jetson Xavier NX (8GB):                                                    </t>
    </r>
    <r>
      <rPr>
        <sz val="10"/>
        <color rgb="FF1C1917"/>
        <rFont val="Arial"/>
      </rPr>
      <t xml:space="preserve">- </t>
    </r>
    <r>
      <rPr>
        <sz val="10"/>
        <color rgb="FF1C1917"/>
        <rFont val="Times New Roman"/>
      </rPr>
      <t>384-core  NVIDIA Volta</t>
    </r>
    <r>
      <rPr>
        <vertAlign val="superscript"/>
        <sz val="10"/>
        <color rgb="FF1C1917"/>
        <rFont val="Times New Roman"/>
      </rPr>
      <t>TM</t>
    </r>
    <r>
      <rPr>
        <sz val="10"/>
        <color rgb="FF1C1917"/>
        <rFont val="Times New Roman"/>
      </rPr>
      <t xml:space="preserve"> architecture GPU with 48 Tensor Cores                                                                                 - 6-core NVIDIA Carmel Arm</t>
    </r>
    <r>
      <rPr>
        <sz val="10"/>
        <color rgb="FF1C1917"/>
        <rFont val="Arial"/>
      </rPr>
      <t>©</t>
    </r>
    <r>
      <rPr>
        <sz val="10"/>
        <color rgb="FF1C1917"/>
        <rFont val="Times New Roman"/>
      </rPr>
      <t>v8.264-bit CPU        - - 6MB L2 + 4MB L3                                                                      ▷ Alimentation 5v/4A avec câble USB-C                      ▷ Carte microSD préchargée avec Linux et les outils de développement NVIDIA                                          ▷ Caméra 12Mp v3 compatible Jetson avec câble court                                                                            ▷ Ventilateur et dissipateur thermique pour le refroidissement                                                              ▷ Boitier pour loger et connecter tous les composants                   Câbles et accessoires pour les connexions (HDMI, USB, GPIO, etc.)</t>
    </r>
  </si>
  <si>
    <t>Pack Développeur Raspberry Pi4 8Go contient :          ▷ Raspberry pi 4 8Go RAM                                           ▷ Carte MicroSD 32 Go Class 10                                  ▷ Alimentation USB-C Officielle Raspberry Pi               ▷ Boitier en plexiglas pour Raspberry Pi                        ▷ Ventilateur et dissipateur thermique                            ▷ Ecran tactile HDMI 7" avec dalle capacitive              ▷ Caméra 12Mp v3 compatible Raspberry Pi                ▷ Câbles: HDMI, micro-HDMI vers HDMI, USB 3.0  Radiateur et pâte thermique</t>
  </si>
  <si>
    <r>
      <t xml:space="preserve">Pack Développeur Raspberry Pi4 8Go </t>
    </r>
    <r>
      <rPr>
        <sz val="10"/>
        <color rgb="FF1C1917"/>
        <rFont val="Times New Roman"/>
      </rPr>
      <t>contient :          ▷ Raspberry pi 4 8Go RAM                                           ▷ Carte MicroSD 32 Go Class 10                                  ▷ Alimentation USB-C Officielle Raspberry Pi               ▷ Boitier en plexiglas pour Raspberry Pi                        ▷ Ventilateur et dissipateur thermique                            ▷ Ecran tactile HDMI 7" avec dalle capacitive              ▷ Caméra 12Mp v3 compatible Raspberry Pi                ▷ Câbles: HDMI, micro-HDMI vers HDMI, USB 3.0  Radiateur et pâte thermique</t>
    </r>
  </si>
  <si>
    <t>Pack IA &amp; Vision NVIDIA Jetson Nano 4Go contient:                                                                         ▷ Carte Jetson Nano:                                                      - 4 Go de RAM                                                              - Processeur Quad-core ARM A57                               - GPU 128-core Maxwell                                                                         ▷ Alimentation 5v/4A avec câble USB-C                      ▷ Carte microSD préchargée avec Linux et les outils de développement NVIDIA                                          ▷ Caméra 12Mp v3 compatible Jetson avec câble court                                                                            ▷ Ventilateur et dissipateur thermique pour le refroidissement                                                              ▷ Boitier pour loger et connecter tous les composants                   Câbles et accessoires pour les connexions (HDMI, USB, GPIO, etc.)</t>
  </si>
  <si>
    <r>
      <rPr>
        <b/>
        <sz val="10"/>
        <color rgb="FF1C1917"/>
        <rFont val="Times New Roman"/>
      </rPr>
      <t>Pack IA &amp; Vision NVIDIA Jetson Nano 4Go contient:</t>
    </r>
    <r>
      <rPr>
        <sz val="10"/>
        <color rgb="FF1C1917"/>
        <rFont val="Times New Roman"/>
      </rPr>
      <t xml:space="preserve">                                                                         ▷ Carte Jetson Nano:                                                      - 4 Go de RAM                                                              - Processeur Quad-core ARM A57                               - GPU 128-core Maxwell                                                                         ▷ Alimentation 5v/4A avec câble USB-C                      ▷ Carte microSD préchargée avec Linux et les outils de développement NVIDIA                                          ▷ Caméra 12Mp v3 compatible Jetson avec câble court                                                                            ▷ Ventilateur et dissipateur thermique pour le refroidissement                                                              ▷ Boitier pour loger et connecter tous les composants                   Câbles et accessoires pour les connexions (HDMI, USB, GPIO, etc.)</t>
    </r>
  </si>
  <si>
    <r>
      <rPr>
        <b/>
        <sz val="10"/>
        <color rgb="FF1C1917"/>
        <rFont val="Times New Roman"/>
      </rPr>
      <t>Pack IA NVIDIA Jetson Xavier NX (8GB) contient:</t>
    </r>
    <r>
      <rPr>
        <sz val="10"/>
        <color rgb="FF1C1917"/>
        <rFont val="Times New Roman"/>
      </rPr>
      <t xml:space="preserve">  </t>
    </r>
    <r>
      <rPr>
        <sz val="10"/>
        <color rgb="FF1C1917"/>
        <rFont val="Arial"/>
      </rPr>
      <t>▷</t>
    </r>
    <r>
      <rPr>
        <sz val="10"/>
        <color rgb="FF1C1917"/>
        <rFont val="Times New Roman"/>
      </rPr>
      <t xml:space="preserve"> Jetson Xavier NX (8GB):                                                    </t>
    </r>
    <r>
      <rPr>
        <sz val="10"/>
        <color rgb="FF1C1917"/>
        <rFont val="Arial"/>
      </rPr>
      <t xml:space="preserve">- </t>
    </r>
    <r>
      <rPr>
        <sz val="10"/>
        <color rgb="FF1C1917"/>
        <rFont val="Times New Roman"/>
      </rPr>
      <t>384-core  NVIDIA Volta</t>
    </r>
    <r>
      <rPr>
        <vertAlign val="superscript"/>
        <sz val="10"/>
        <color rgb="FF1C1917"/>
        <rFont val="Times New Roman"/>
      </rPr>
      <t>TM</t>
    </r>
    <r>
      <rPr>
        <sz val="10"/>
        <color rgb="FF1C1917"/>
        <rFont val="Times New Roman"/>
      </rPr>
      <t xml:space="preserve"> architecture GPU with 48 Tensor Cores                                                                                 - 6-core NVIDIA Carmel Arm</t>
    </r>
    <r>
      <rPr>
        <sz val="10"/>
        <color rgb="FF1C1917"/>
        <rFont val="Arial"/>
      </rPr>
      <t>©</t>
    </r>
    <r>
      <rPr>
        <sz val="10"/>
        <color rgb="FF1C1917"/>
        <rFont val="Times New Roman"/>
      </rPr>
      <t>v8.264-bit CPU        - - 6MB L2 + 4MB L3                                                                      ▷ Alimentation 5v/4A avec câble USB-C                      ▷ Carte microSD préchargée avec Linux et les outils de développement NVIDIA                                          ▷ Caméra 12Mp v3 compatible Jetson avec câble court                                                                            ▷ Ventilateur et dissipateur thermique pour le refroidissement                                                              ▷ Boitier pour loger et connecter tous les composants                   Câbles et accessoires pour les connexions (HDMI, USB, GPIO, etc.)</t>
    </r>
  </si>
  <si>
    <t>Pack IA &amp; Vision NVIDIA Jetson Nano 4Go contient:                                                                         ▷ Carte Jetson Nano:                                                       - 4 Go de RAM                                                                   - Processeur Quad-core ARM A57                                  - GPU 128-core Maxwell                                                                         ▷ Alimentation 5v/4A avec câble USB-C                      ▷ Carte microSD préchargée avec Linux et les outils de développement NVIDIA                                                ▷ Caméra 12Mp v3 compatible Jetson avec câble court                                                                            ▷ Ventilateur et dissipateur thermique pour le refroidissement                                                               ▷ Boitier pour loger et connecter tous les composants                   Câbles et accessoires pour les connexions (HDMI, USB, GPIO, etc.)</t>
  </si>
  <si>
    <r>
      <rPr>
        <b/>
        <sz val="10"/>
        <color rgb="FF1C1917"/>
        <rFont val="Times New Roman"/>
      </rPr>
      <t>Pack IA &amp; Vision NVIDIA Jetson Nano 4Go contient:</t>
    </r>
    <r>
      <rPr>
        <sz val="10"/>
        <color rgb="FF1C1917"/>
        <rFont val="Times New Roman"/>
      </rPr>
      <t xml:space="preserve">                                                                         ▷ Carte Jetson Nano:                                                       - 4 Go de RAM                                                                   - Processeur Quad-core ARM A57                                  - GPU 128-core Maxwell                                                                         ▷ Alimentation 5v/4A avec câble USB-C                      ▷ Carte microSD préchargée avec Linux et les outils de développement NVIDIA                                                ▷ Caméra 12Mp v3 compatible Jetson avec câble court                                                                            ▷ Ventilateur et dissipateur thermique pour le refroidissement                                                               ▷ Boitier pour loger et connecter tous les composants                   Câbles et accessoires pour les connexions (HDMI, USB, GPIO, etc.)</t>
    </r>
  </si>
  <si>
    <t>Pack IA NVIDIA Jetson Xavier NX (8GB) contient:  ▷ Jetson Xavier NX (8GB):                                                    - 384-core  NVIDIA VoltaTM architecture GPU with 48 Tensor Cores                                                                                 - 6-core NVIDIA Carmel Arm©v8.264-bit CPU             - 6MB L2 + 4MB L3                                                                      ▷ Alimentation 5v/4A avec câble USB-C                      ▷ Carte microSD préchargée avec Linux et les outils de développement NVIDIA                                                ▷ Caméra 12Mp v3 compatible Jetson avec câble court                                                                            ▷ Ventilateur et dissipateur thermique pour le refroidissement                                                               ▷  Boitier pour loger et connecter tous les composants                   Câbles et accessoires pour les connexions (HDMI, USB, GPIO, etc.)</t>
  </si>
  <si>
    <r>
      <rPr>
        <b/>
        <sz val="10"/>
        <color rgb="FF1C1917"/>
        <rFont val="Times New Roman"/>
      </rPr>
      <t>Pack IA NVIDIA Jetson Xavier NX (8GB) contient:</t>
    </r>
    <r>
      <rPr>
        <sz val="10"/>
        <color rgb="FF1C1917"/>
        <rFont val="Times New Roman"/>
      </rPr>
      <t xml:space="preserve">  </t>
    </r>
    <r>
      <rPr>
        <sz val="10"/>
        <color rgb="FF1C1917"/>
        <rFont val="Arial"/>
      </rPr>
      <t>▷</t>
    </r>
    <r>
      <rPr>
        <sz val="10"/>
        <color rgb="FF1C1917"/>
        <rFont val="Times New Roman"/>
      </rPr>
      <t xml:space="preserve"> Jetson Xavier NX (8GB):                                                    </t>
    </r>
    <r>
      <rPr>
        <sz val="10"/>
        <color rgb="FF1C1917"/>
        <rFont val="Arial"/>
      </rPr>
      <t xml:space="preserve">- </t>
    </r>
    <r>
      <rPr>
        <sz val="10"/>
        <color rgb="FF1C1917"/>
        <rFont val="Times New Roman"/>
      </rPr>
      <t>384-core  NVIDIA Volta</t>
    </r>
    <r>
      <rPr>
        <vertAlign val="superscript"/>
        <sz val="10"/>
        <color rgb="FF1C1917"/>
        <rFont val="Times New Roman"/>
      </rPr>
      <t>TM</t>
    </r>
    <r>
      <rPr>
        <sz val="10"/>
        <color rgb="FF1C1917"/>
        <rFont val="Times New Roman"/>
      </rPr>
      <t xml:space="preserve"> architecture GPU with 48 Tensor Cores                                                                                 - 6-core NVIDIA Carmel Arm</t>
    </r>
    <r>
      <rPr>
        <sz val="10"/>
        <color rgb="FF1C1917"/>
        <rFont val="Arial"/>
      </rPr>
      <t>©</t>
    </r>
    <r>
      <rPr>
        <sz val="10"/>
        <color rgb="FF1C1917"/>
        <rFont val="Times New Roman"/>
      </rPr>
      <t>v8.264-bit CPU             - 6MB L2 + 4MB L3                                                                      ▷ Alimentation 5v/4A avec câble USB-C                      ▷ Carte microSD préchargée avec Linux et les outils de développement NVIDIA                                                ▷ Caméra 12Mp v3 compatible Jetson avec câble court                                                                            ▷ Ventilateur et dissipateur thermique pour le refroidissement                                                               ▷  Boitier pour loger et connecter tous les composants                   Câbles et accessoires pour les connexions (HDMI, USB, GPIO, etc.)</t>
    </r>
  </si>
  <si>
    <r>
      <rPr>
        <b/>
        <sz val="10"/>
        <color theme="1"/>
        <rFont val="Times New Roman"/>
      </rPr>
      <t xml:space="preserve">Pack Développeur Raspberry Pi4 8Go </t>
    </r>
    <r>
      <rPr>
        <b/>
        <sz val="10"/>
        <color rgb="FF1C1917"/>
        <rFont val="Times New Roman"/>
      </rPr>
      <t xml:space="preserve">contient : </t>
    </r>
    <r>
      <rPr>
        <sz val="10"/>
        <color rgb="FF1C1917"/>
        <rFont val="Times New Roman"/>
      </rPr>
      <t xml:space="preserve">         ▷ Raspberry pi 4 8Go RAM                                           ▷ Carte MicroSD 32 Go Class 10                                  ▷ Alimentation USB-C Officielle Raspberry Pi               ▷ Boitier en plexiglas pour Raspberry Pi                        ▷ Ventilateur et dissipateur thermique                            ▷ Ecran tactile HDMI 7" avec dalle capacitive              ▷ Caméra 12Mp v3 compatible Raspberry Pi                ▷ Câbles: HDMI, micro-HDMI vers HDMI, USB 3.0  Radiateur et pâte thermique</t>
    </r>
  </si>
  <si>
    <t xml:space="preserve">Page 2/5 de la facture N° </t>
  </si>
  <si>
    <r>
      <t>Page 2/5 de la facture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</si>
  <si>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 xml:space="preserve">Page 1/5 de la facture N° </t>
  </si>
  <si>
    <r>
      <t>Page 1/5 de la facture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</si>
  <si>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 xml:space="preserve">Page 3/5 de la facture N° </t>
  </si>
  <si>
    <r>
      <t>Page 3/5 de la facture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</si>
  <si>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 xml:space="preserve">Page 4/5 de la facture N° </t>
  </si>
  <si>
    <r>
      <t>Page 4/5 de la facture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</si>
  <si>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 xml:space="preserve">Page 5/5 de la facture N° </t>
  </si>
  <si>
    <r>
      <t>Page 5/5 de la facture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</si>
  <si>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>2024-0007</t>
  </si>
  <si>
    <t>Arduino Uno R3 DIP-16 avec câble USB</t>
  </si>
  <si>
    <t>Arduino Mega 2560 R3 Mega16U2 avec câble USB</t>
  </si>
  <si>
    <t>Carte ESP32 WROOM32 Devkit-C</t>
  </si>
  <si>
    <t>Fils jumpers (40 MM 40 MF 40FF)</t>
  </si>
  <si>
    <t>Arduino pro mini Atmega328P 5v</t>
  </si>
  <si>
    <t>Arduino nano Atmega328P 5v</t>
  </si>
  <si>
    <t>Module ECG AD8232</t>
  </si>
  <si>
    <t>Module EMG</t>
  </si>
  <si>
    <t>Module capteur MAX30102</t>
  </si>
  <si>
    <t>Capteur de distance infrarouge sharp GP2Y0A41SK0F</t>
  </si>
  <si>
    <t>Capteur de distance VL530L</t>
  </si>
  <si>
    <t>Cpateur d'obstacle infrarouge</t>
  </si>
  <si>
    <t>Module suiveur de ligne TCRT5000</t>
  </si>
  <si>
    <t>Capteur ultrason SR-04</t>
  </si>
  <si>
    <t>Module capteur de gaz MQ-7</t>
  </si>
  <si>
    <t>Capteur d'intensité de lumière TSL-2561</t>
  </si>
  <si>
    <t>Capteur niveau d'eau XKC-Y25</t>
  </si>
  <si>
    <t>Capteur niveau d'eau</t>
  </si>
  <si>
    <t>Capteur d'humidité AHT21</t>
  </si>
  <si>
    <t>Module thermocouple K-Type</t>
  </si>
  <si>
    <t>Module d'arrosage automatique XH-M203</t>
  </si>
  <si>
    <t>Capteur de température DS18B20 étanche</t>
  </si>
  <si>
    <t>Module capteur de gaz MQ-5</t>
  </si>
  <si>
    <t>Photorésistance LDR 5mm</t>
  </si>
  <si>
    <t>Photorésistance BPW-34</t>
  </si>
  <si>
    <t>Phototransistor 3DU5C</t>
  </si>
  <si>
    <t>Capteur RGB TCS34725</t>
  </si>
  <si>
    <t>Module encodeur rotatif KY-040</t>
  </si>
  <si>
    <t>Module microphone KY-018</t>
  </si>
  <si>
    <t>Module microphone INMP441</t>
  </si>
  <si>
    <t>Module capteur de pression d'eau HX710B</t>
  </si>
  <si>
    <t>Module tachi-mètre pour Arduino</t>
  </si>
  <si>
    <t>Module boussole 3 axes HMC5883L</t>
  </si>
  <si>
    <t>Module MPU6050</t>
  </si>
  <si>
    <t>Module MPU9250</t>
  </si>
  <si>
    <t>Capteur d'inclinaison KY-020</t>
  </si>
  <si>
    <t>Module capteur de vibration SW-420</t>
  </si>
  <si>
    <t>Module capteur de vibration KY-031</t>
  </si>
  <si>
    <t>Module capteur de vibration KY-002</t>
  </si>
  <si>
    <t xml:space="preserve">Page 1/3 de la facture N° </t>
  </si>
  <si>
    <r>
      <t>Page 1/3 de la facture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</si>
  <si>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>Module capteur de mouvement PIR HC-SR501</t>
  </si>
  <si>
    <t>Module capteur de mouvement PIR HC-SR505</t>
  </si>
  <si>
    <t>Capteur de force 50kg</t>
  </si>
  <si>
    <t>Capteur de contact humain KY-036</t>
  </si>
  <si>
    <t>Moteur vibreur M1</t>
  </si>
  <si>
    <t>Capteur de geste APD-9930</t>
  </si>
  <si>
    <t>Caméra pour arduino OV7625</t>
  </si>
  <si>
    <t>Carte d'extension pour ESP32</t>
  </si>
  <si>
    <t>Module RTC DS1307</t>
  </si>
  <si>
    <t>Module RTC DS3231</t>
  </si>
  <si>
    <t>Module 7 segment 4 digits TM1637</t>
  </si>
  <si>
    <t>Module 7 segment 8 digits MAX7219</t>
  </si>
  <si>
    <t>Driver moteur DC MX1508</t>
  </si>
  <si>
    <t>Driver moteur DC L298N</t>
  </si>
  <si>
    <t>Driver moteur DC L293D</t>
  </si>
  <si>
    <t>Module clavier 4x4 pour Arduino</t>
  </si>
  <si>
    <t>Module relais photorésistance XH-M131 5v</t>
  </si>
  <si>
    <t>Module capteur fin de course</t>
  </si>
  <si>
    <t>Capteur d'humidité SLY67-SHT30</t>
  </si>
  <si>
    <t>Module de touche capacitif OE-TP</t>
  </si>
  <si>
    <t>Module de touche capacitif TTP226</t>
  </si>
  <si>
    <t>Module de touche capacitif TTP229</t>
  </si>
  <si>
    <t>Module décodeur du son MT8870 DTMF</t>
  </si>
  <si>
    <t>Module générateur de fréquence onde carrée</t>
  </si>
  <si>
    <t>Module SD card pour Arduino</t>
  </si>
  <si>
    <t>Module émitteur/récepteur radio 433Mhz</t>
  </si>
  <si>
    <t>Module Ethernet RJ45 pour Arduino</t>
  </si>
  <si>
    <t>Module radio nRF24L01+</t>
  </si>
  <si>
    <t>Module radio nRF24L01+ PA+LNA</t>
  </si>
  <si>
    <t>Module dot matrix 8x8 avec MAX7219</t>
  </si>
  <si>
    <t>Buzzer 5v</t>
  </si>
  <si>
    <t>Buzzer 12v</t>
  </si>
  <si>
    <t>Module CAN Bus pour Arduino</t>
  </si>
  <si>
    <t>Module joystick pour Arduino</t>
  </si>
  <si>
    <t>Moteur pas-à-pas avec driver driver ULN2003</t>
  </si>
  <si>
    <t>Ecran Oled 0.96 inch</t>
  </si>
  <si>
    <t>Ecran LCD Nokia 5110</t>
  </si>
  <si>
    <t>Module GSM Sim800L v2</t>
  </si>
  <si>
    <t>Module Attiny85 USB</t>
  </si>
  <si>
    <t>Kit télécommande infrarouge</t>
  </si>
  <si>
    <t>Kit relais télécommande infrarouge</t>
  </si>
  <si>
    <t>Module bluetooth HM-11 BLE 4.0</t>
  </si>
  <si>
    <t>Panneau solaire 6v 4.5W 6ème génération</t>
  </si>
  <si>
    <t>Module d'extention numérique RTC TM1636</t>
  </si>
  <si>
    <t>Carte d'extension Atmega48 + nRF24L01</t>
  </si>
  <si>
    <t>Kit robot mobile 4 roues</t>
  </si>
  <si>
    <t>Moteur brushless Emax 1400kv 3s</t>
  </si>
  <si>
    <t>Variateur de vitesse ESC 30A jaune</t>
  </si>
  <si>
    <t>Carte breakout RS232</t>
  </si>
  <si>
    <t>Convertisseur TTL-RS485</t>
  </si>
  <si>
    <t>Convertisseur USB-TTL RS485</t>
  </si>
  <si>
    <t>Module sweep-hands SW v2.0</t>
  </si>
  <si>
    <t>Module laser</t>
  </si>
  <si>
    <t>Module capteur magnétique à effet de hall</t>
  </si>
  <si>
    <t>Module suiveur de lumière un seul axe 5v</t>
  </si>
  <si>
    <t>Kit commutateur magnétique N/O MC38</t>
  </si>
  <si>
    <t>Breadboard 170p</t>
  </si>
  <si>
    <t>Breadboard 830p</t>
  </si>
  <si>
    <t>Capteur de pression BMP180</t>
  </si>
  <si>
    <t>Capteur de pression GY-63 MS5611</t>
  </si>
  <si>
    <t>Led 5mm</t>
  </si>
  <si>
    <t>Led 3mm</t>
  </si>
  <si>
    <t>Led 10mm</t>
  </si>
  <si>
    <t>Cent quatre vingt dix-neuf milles neuf cents quatre-vingt Dinar Algérien</t>
  </si>
  <si>
    <t>Nom du client: Faculté des Sciences et de la Technologie</t>
  </si>
  <si>
    <r>
      <rPr>
        <b/>
        <sz val="10"/>
        <color theme="1"/>
        <rFont val="Times New Roman"/>
      </rPr>
      <t xml:space="preserve">Nom du client: </t>
    </r>
    <r>
      <rPr>
        <sz val="10"/>
        <color theme="1"/>
        <rFont val="Times New Roman"/>
      </rPr>
      <t>Faculté des Sciences et de la Technologie</t>
    </r>
  </si>
  <si>
    <t>Bon de commande: .................</t>
  </si>
  <si>
    <r>
      <rPr>
        <b/>
        <sz val="10"/>
        <color theme="1"/>
        <rFont val="Times New Roman"/>
      </rPr>
      <t>Bon de commande: .................</t>
    </r>
  </si>
  <si>
    <t xml:space="preserve"> du ................................</t>
  </si>
  <si>
    <t>NIF: 15436140176011402301  NIS: 1 954 3614 01760 35</t>
  </si>
  <si>
    <r>
      <rPr>
        <b/>
        <sz val="10"/>
        <color theme="1"/>
        <rFont val="Times New Roman"/>
      </rPr>
      <t xml:space="preserve">NIF: </t>
    </r>
    <r>
      <rPr>
        <sz val="10"/>
        <color theme="1"/>
        <rFont val="Courier New"/>
      </rPr>
      <t>15436140176011402301</t>
    </r>
    <r>
      <rPr>
        <sz val="10"/>
        <color theme="1"/>
        <rFont val="Times New Roman"/>
      </rPr>
      <t xml:space="preserve">  </t>
    </r>
    <r>
      <rPr>
        <b/>
        <sz val="10"/>
        <color theme="1"/>
        <rFont val="Times New Roman"/>
      </rPr>
      <t>NIS:</t>
    </r>
    <r>
      <rPr>
        <sz val="10"/>
        <color theme="1"/>
        <rFont val="Times New Roman"/>
      </rPr>
      <t> </t>
    </r>
    <r>
      <rPr>
        <sz val="10"/>
        <color theme="1"/>
        <rFont val="Courier New"/>
      </rPr>
      <t>1 954 3614 01760 35</t>
    </r>
  </si>
  <si>
    <t>NIF: 15436140176011402301  NIS: 195436140176035</t>
  </si>
  <si>
    <r>
      <rPr>
        <b/>
        <sz val="10"/>
        <color theme="1"/>
        <rFont val="Times New Roman"/>
      </rPr>
      <t xml:space="preserve">NIF: </t>
    </r>
    <r>
      <rPr>
        <sz val="10"/>
        <color theme="1"/>
        <rFont val="Courier New"/>
      </rPr>
      <t>15436140176011402301</t>
    </r>
    <r>
      <rPr>
        <sz val="10"/>
        <color theme="1"/>
        <rFont val="Times New Roman"/>
      </rPr>
      <t xml:space="preserve">  </t>
    </r>
    <r>
      <rPr>
        <b/>
        <sz val="10"/>
        <color theme="1"/>
        <rFont val="Times New Roman"/>
      </rPr>
      <t>NIS:</t>
    </r>
    <r>
      <rPr>
        <sz val="10"/>
        <color theme="1"/>
        <rFont val="Times New Roman"/>
      </rPr>
      <t> </t>
    </r>
    <r>
      <rPr>
        <sz val="10"/>
        <color theme="1"/>
        <rFont val="Courier New"/>
      </rPr>
      <t>195436140176035</t>
    </r>
  </si>
  <si>
    <t xml:space="preserve">RC: 18A1871316-01/23             </t>
  </si>
  <si>
    <r>
      <rPr>
        <b/>
        <sz val="10"/>
        <color theme="1"/>
        <rFont val="Times New Roman"/>
      </rPr>
      <t>RC:</t>
    </r>
    <r>
      <rPr>
        <sz val="10"/>
        <color theme="1"/>
        <rFont val="Times New Roman"/>
      </rPr>
      <t xml:space="preserve"> </t>
    </r>
    <r>
      <rPr>
        <sz val="10"/>
        <color theme="1"/>
        <rFont val="Courier New"/>
      </rPr>
      <t>18A1871316-01/23</t>
    </r>
    <r>
      <rPr>
        <sz val="10"/>
        <color theme="1"/>
        <rFont val="Times New Roman"/>
      </rPr>
      <t xml:space="preserve">             </t>
    </r>
  </si>
  <si>
    <t>ART: 23112905611</t>
  </si>
  <si>
    <t>NIF: 15436140176011402301  </t>
  </si>
  <si>
    <r>
      <rPr>
        <b/>
        <sz val="10"/>
        <color theme="1"/>
        <rFont val="Times New Roman"/>
      </rPr>
      <t xml:space="preserve">NIF: </t>
    </r>
    <r>
      <rPr>
        <sz val="10"/>
        <color theme="1"/>
        <rFont val="Courier New"/>
      </rPr>
      <t>15436140176011402301</t>
    </r>
    <r>
      <rPr>
        <sz val="10"/>
        <color theme="1"/>
        <rFont val="Times New Roman"/>
      </rPr>
      <t xml:space="preserve">  </t>
    </r>
  </si>
  <si>
    <t>NIS: 195436140176035</t>
  </si>
  <si>
    <r>
      <rPr>
        <b/>
        <sz val="10"/>
        <color theme="1"/>
        <rFont val="Times New Roman"/>
      </rPr>
      <t>NIS:</t>
    </r>
    <r>
      <rPr>
        <sz val="10"/>
        <color theme="1"/>
        <rFont val="Times New Roman"/>
      </rPr>
      <t> 195436140176035</t>
    </r>
  </si>
  <si>
    <r>
      <rPr>
        <b/>
        <sz val="10"/>
        <color theme="1"/>
        <rFont val="Times New Roman"/>
      </rPr>
      <t>ART:</t>
    </r>
    <r>
      <rPr>
        <sz val="10"/>
        <color theme="1"/>
        <rFont val="Times New Roman"/>
      </rPr>
      <t xml:space="preserve"> 23112905611</t>
    </r>
  </si>
  <si>
    <t>RIB: 001 00811 0300001342/91 BNA-Annaba-811</t>
  </si>
  <si>
    <r>
      <rPr>
        <b/>
        <sz val="10"/>
        <color theme="1"/>
        <rFont val="Times New Roman"/>
      </rPr>
      <t>RIB:</t>
    </r>
    <r>
      <rPr>
        <sz val="10"/>
        <color theme="1"/>
        <rFont val="Times New Roman"/>
      </rPr>
      <t xml:space="preserve"> </t>
    </r>
    <r>
      <rPr>
        <sz val="10"/>
        <color theme="1"/>
        <rFont val="Courier New"/>
      </rPr>
      <t>001 00811 0300001342/91 BNA-Annaba-811</t>
    </r>
  </si>
  <si>
    <t xml:space="preserve">Page 2/3 de la facture N° </t>
  </si>
  <si>
    <r>
      <t>Page 2/3 de la facture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</si>
  <si>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 xml:space="preserve">Page 3/3 de la facture N° </t>
  </si>
  <si>
    <r>
      <t>Page 3/3 de la facture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</si>
  <si>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r>
      <rPr>
        <b/>
        <sz val="10"/>
        <color theme="1"/>
        <rFont val="Times New Roman"/>
      </rPr>
      <t xml:space="preserve">Nom du client: </t>
    </r>
    <r>
      <rPr>
        <sz val="9"/>
        <color theme="1"/>
        <rFont val="Times New Roman"/>
      </rPr>
      <t>Faculté des Sciences et de la Technologie</t>
    </r>
  </si>
  <si>
    <r>
      <rPr>
        <b/>
        <sz val="10"/>
        <color theme="1"/>
        <rFont val="Times New Roman"/>
      </rPr>
      <t>ART:</t>
    </r>
    <r>
      <rPr>
        <sz val="10"/>
        <color theme="1"/>
        <rFont val="Times New Roman"/>
      </rPr>
      <t xml:space="preserve"> </t>
    </r>
    <r>
      <rPr>
        <sz val="10"/>
        <color theme="1"/>
        <rFont val="Courier New"/>
      </rPr>
      <t>23112905611</t>
    </r>
  </si>
  <si>
    <r>
      <rPr>
        <b/>
        <sz val="10"/>
        <color theme="1"/>
        <rFont val="Times New Roman"/>
      </rPr>
      <t>NIS:</t>
    </r>
    <r>
      <rPr>
        <sz val="10"/>
        <color theme="1"/>
        <rFont val="Times New Roman"/>
      </rPr>
      <t> </t>
    </r>
    <r>
      <rPr>
        <sz val="10"/>
        <color theme="1"/>
        <rFont val="Courier New"/>
      </rPr>
      <t>195436140176035</t>
    </r>
  </si>
  <si>
    <t>RIB: 001 00811 0300001342/91 BNA-811 ABAINIA Mohamed Lakhdar</t>
  </si>
  <si>
    <r>
      <rPr>
        <b/>
        <sz val="10"/>
        <color theme="1"/>
        <rFont val="Times New Roman"/>
      </rPr>
      <t>RIB:</t>
    </r>
    <r>
      <rPr>
        <sz val="10"/>
        <color theme="1"/>
        <rFont val="Times New Roman"/>
      </rPr>
      <t xml:space="preserve"> </t>
    </r>
    <r>
      <rPr>
        <sz val="10"/>
        <color theme="1"/>
        <rFont val="Courier New"/>
      </rPr>
      <t>001 00811 0300001342/91 BNA-811 ABAINIA Mohamed Lakhdar</t>
    </r>
  </si>
  <si>
    <t>2025-0001</t>
  </si>
  <si>
    <t xml:space="preserve">Page 1/1 de la facture N° </t>
  </si>
  <si>
    <r>
      <t>Page 1/1 de la facture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</si>
  <si>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>Câble 2x2,5 mm 10 M,</t>
  </si>
  <si>
    <t>Paire de connecteur MC4,</t>
  </si>
  <si>
    <t>Vanne en PVC 32 mm,</t>
  </si>
  <si>
    <t>Coude PVC 32 mm 90",</t>
  </si>
  <si>
    <t xml:space="preserve">Tube PVC 32 mm 10 M,	</t>
  </si>
  <si>
    <t>Mousse de Nickel 0,5mm 20x30 cm,</t>
  </si>
  <si>
    <t>Plaque en graplate 0,2mm 25x20 cm,</t>
  </si>
  <si>
    <t>Plaque en inox 304 0,5mm 10x100 cm,</t>
  </si>
  <si>
    <t>Plaque en Nickel 0,5mm 20x100 cm.</t>
  </si>
  <si>
    <t>Cent Vingt Neuf Mille Sept Cent Dinars Algériens et Zéro Centime.</t>
  </si>
  <si>
    <t>Câble 2x2,5 mm 10 M</t>
  </si>
  <si>
    <t>Paire de connecteur MC4</t>
  </si>
  <si>
    <t>Vanne en PVC 32 mm</t>
  </si>
  <si>
    <t>Coude PVC 32 mm 90"</t>
  </si>
  <si>
    <t>Tube PVC 32 mm 10 M,</t>
  </si>
  <si>
    <t>Mousse de Nickel 0,5mm 20x30 cm</t>
  </si>
  <si>
    <t>Plaque en graplate 0,2mm 25x20 cm</t>
  </si>
  <si>
    <t>Plaque en inox 304 0,5mm 10x100 cm</t>
  </si>
  <si>
    <t>Plaque en Nickel 0,5mm 20x100 cm</t>
  </si>
  <si>
    <t>Tube PVC 32 mm 10 M</t>
  </si>
  <si>
    <t>Code du client: CLU30402024</t>
  </si>
  <si>
    <r>
      <rPr>
        <b/>
        <sz val="10"/>
        <color theme="1"/>
        <rFont val="Times New Roman"/>
      </rPr>
      <t xml:space="preserve">Code du client: </t>
    </r>
    <r>
      <rPr>
        <sz val="10"/>
        <color theme="1"/>
        <rFont val="Courier New"/>
      </rPr>
      <t>CLU30402024</t>
    </r>
  </si>
  <si>
    <t xml:space="preserve">Date: </t>
  </si>
  <si>
    <r>
      <rPr>
        <b/>
        <sz val="10"/>
        <color theme="1"/>
        <rFont val="Times New Roman"/>
      </rPr>
      <t>Date</t>
    </r>
    <r>
      <rPr>
        <sz val="10"/>
        <color theme="1"/>
        <rFont val="Times New Roman"/>
      </rPr>
      <t xml:space="preserve">: </t>
    </r>
  </si>
  <si>
    <t>Code du client:  CLU30402024</t>
  </si>
  <si>
    <r>
      <rPr>
        <b/>
        <sz val="10"/>
        <color theme="1"/>
        <rFont val="Times New Roman"/>
      </rPr>
      <t>Code du client</t>
    </r>
    <r>
      <rPr>
        <sz val="10"/>
        <color theme="1"/>
        <rFont val="Times New Roman"/>
      </rPr>
      <t>:  CLU30402024</t>
    </r>
  </si>
  <si>
    <t>Nom du client: Agence Thématique de Recherche en Sciences et Technologies ATRST</t>
  </si>
  <si>
    <r>
      <rPr>
        <b/>
        <sz val="10"/>
        <color theme="1"/>
        <rFont val="Times New Roman"/>
      </rPr>
      <t>Nom du client</t>
    </r>
    <r>
      <rPr>
        <sz val="10"/>
        <color theme="1"/>
        <rFont val="Times New Roman"/>
      </rPr>
      <t>: Agence Thématique de Recherche en Sciences et Technologies ATRST</t>
    </r>
  </si>
  <si>
    <t>Nom du porteur de projet: KERBOUA Kaouther</t>
  </si>
  <si>
    <r>
      <rPr>
        <b/>
        <sz val="10"/>
        <color theme="1"/>
        <rFont val="Times New Roman"/>
      </rPr>
      <t>Nom du porteur de projet:</t>
    </r>
    <r>
      <rPr>
        <sz val="10"/>
        <color theme="1"/>
        <rFont val="Times New Roman"/>
      </rPr>
      <t xml:space="preserve"> KERBOUA Kaouther</t>
    </r>
  </si>
  <si>
    <t>Etablissement: École Nationale Supérieure de Technologie et d'Ingénierie (ENSTI)</t>
  </si>
  <si>
    <r>
      <rPr>
        <b/>
        <sz val="10"/>
        <color theme="1"/>
        <rFont val="Times New Roman"/>
      </rPr>
      <t>Etablissement:</t>
    </r>
    <r>
      <rPr>
        <sz val="10"/>
        <color theme="1"/>
        <rFont val="Times New Roman"/>
      </rPr>
      <t xml:space="preserve"> École Nationale Supérieure de Technologie et d'Ingénierie (ENSTI)</t>
    </r>
  </si>
  <si>
    <t>Adresse: Avenue Pasteur, Hassène Badi BP. 62 El Harrach, Alger 16200, Algérie</t>
  </si>
  <si>
    <r>
      <rPr>
        <b/>
        <sz val="10"/>
        <color theme="1"/>
        <rFont val="Times New Roman"/>
      </rPr>
      <t>Adresse</t>
    </r>
    <r>
      <rPr>
        <sz val="10"/>
        <color theme="1"/>
        <rFont val="Times New Roman"/>
      </rPr>
      <t>: Avenue Pasteur, Hassène Badi BP. 62 El Harrach, Alger 16200, Algérie</t>
    </r>
  </si>
  <si>
    <t>BC.: 031BIS1/2024 du 18/06/2024</t>
  </si>
  <si>
    <r>
      <rPr>
        <b/>
        <sz val="10"/>
        <color theme="1"/>
        <rFont val="Times New Roman"/>
      </rPr>
      <t>BC.</t>
    </r>
    <r>
      <rPr>
        <sz val="10"/>
        <color theme="1"/>
        <rFont val="Times New Roman"/>
      </rPr>
      <t xml:space="preserve">: 031BIS1/2024 </t>
    </r>
    <r>
      <rPr>
        <b/>
        <sz val="10"/>
        <color theme="1"/>
        <rFont val="Times New Roman"/>
      </rPr>
      <t>du</t>
    </r>
    <r>
      <rPr>
        <sz val="10"/>
        <color theme="1"/>
        <rFont val="Times New Roman"/>
      </rPr>
      <t xml:space="preserve"> 18/06/2024</t>
    </r>
  </si>
  <si>
    <t>BC.: 021BIS1/2025 du 27/04/2025</t>
  </si>
  <si>
    <r>
      <rPr>
        <b/>
        <sz val="10"/>
        <color theme="1"/>
        <rFont val="Times New Roman"/>
      </rPr>
      <t>BC.</t>
    </r>
    <r>
      <rPr>
        <sz val="10"/>
        <color theme="1"/>
        <rFont val="Times New Roman"/>
      </rPr>
      <t xml:space="preserve">: 021BIS1/2025 </t>
    </r>
    <r>
      <rPr>
        <b/>
        <sz val="10"/>
        <color theme="1"/>
        <rFont val="Times New Roman"/>
      </rPr>
      <t>du</t>
    </r>
    <r>
      <rPr>
        <sz val="10"/>
        <color theme="1"/>
        <rFont val="Times New Roman"/>
      </rPr>
      <t xml:space="preserve"> 27/04/2025</t>
    </r>
  </si>
  <si>
    <t>BC.: 021BIS5/2025 du 27/04/2025</t>
  </si>
  <si>
    <r>
      <rPr>
        <b/>
        <sz val="10"/>
        <color theme="1"/>
        <rFont val="Times New Roman"/>
      </rPr>
      <t>BC.</t>
    </r>
    <r>
      <rPr>
        <sz val="10"/>
        <color theme="1"/>
        <rFont val="Times New Roman"/>
      </rPr>
      <t xml:space="preserve">: 021BIS5/2025 </t>
    </r>
    <r>
      <rPr>
        <b/>
        <sz val="10"/>
        <color theme="1"/>
        <rFont val="Times New Roman"/>
      </rPr>
      <t>du</t>
    </r>
    <r>
      <rPr>
        <sz val="10"/>
        <color theme="1"/>
        <rFont val="Times New Roman"/>
      </rPr>
      <t xml:space="preserve"> 27/04/2025</t>
    </r>
  </si>
  <si>
    <r>
      <rPr>
        <b/>
        <sz val="10"/>
        <color theme="1"/>
        <rFont val="Times New Roman"/>
      </rPr>
      <t>RIB:</t>
    </r>
    <r>
      <rPr>
        <sz val="10"/>
        <color theme="1"/>
        <rFont val="Times New Roman"/>
      </rPr>
      <t xml:space="preserve"> </t>
    </r>
    <r>
      <rPr>
        <sz val="10"/>
        <color theme="1"/>
        <rFont val="Courier New"/>
      </rPr>
      <t xml:space="preserve">001 00811 0300001342/91 BNA-811 </t>
    </r>
    <r>
      <rPr>
        <b/>
        <sz val="10"/>
        <color theme="1"/>
        <rFont val="Courier New"/>
      </rPr>
      <t>ABAINIA Mohamed Lakhdar</t>
    </r>
  </si>
  <si>
    <r>
      <rPr>
        <b/>
        <sz val="10"/>
        <color theme="1"/>
        <rFont val="Times New Roman"/>
      </rPr>
      <t>Code du client</t>
    </r>
    <r>
      <rPr>
        <sz val="10"/>
        <color theme="1"/>
        <rFont val="Times New Roman"/>
      </rPr>
      <t xml:space="preserve">:  </t>
    </r>
    <r>
      <rPr>
        <sz val="10"/>
        <color theme="1"/>
        <rFont val="Courier New"/>
      </rPr>
      <t>CLU30402024</t>
    </r>
  </si>
  <si>
    <t xml:space="preserve">**  Bon de livraison N°:         </t>
  </si>
  <si>
    <t xml:space="preserve">Page 1/1 du bon de livraison N° </t>
  </si>
  <si>
    <r>
      <t>Page 1/1 d</t>
    </r>
    <r>
      <rPr>
        <b/>
        <sz val="10"/>
        <color theme="1"/>
        <rFont val="Times New Roman"/>
      </rPr>
      <t>u bon de livraison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</si>
  <si>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>Quantité</t>
  </si>
  <si>
    <t>Multimètres numériques de bonne marque</t>
  </si>
  <si>
    <t>Fer à souder 60W 220V</t>
  </si>
  <si>
    <t>bobine etein 100g 1MM</t>
  </si>
  <si>
    <t>Station à air chaud</t>
  </si>
  <si>
    <t>Capteur de CO2, (sonde) sortie 0-10V</t>
  </si>
  <si>
    <t>Capteur de température, (sonde) sortie 0-10V</t>
  </si>
  <si>
    <t>Capteur de l'humidité de l'air (sonde) sortie 0-10V</t>
  </si>
  <si>
    <t>HANTEK OSCILLOSCOPE 2 CANNAUX</t>
  </si>
  <si>
    <t>Microscope de réparation avec écran intégré x1000, 21,5L x 17,51 x 8,3H centimètres</t>
  </si>
  <si>
    <t>Automate S7-1200 dc/dc/dc CPU 1214C</t>
  </si>
  <si>
    <t>Pince à sertir auto-ajustable pour embouts de câble électrique avec ensemble de cosse 1200 PCS</t>
  </si>
  <si>
    <t>Pince à dénuder</t>
  </si>
  <si>
    <t>Pistolet à colle chaude 40W</t>
  </si>
  <si>
    <t>Bâton de colle chaude</t>
  </si>
  <si>
    <t>Etau de serrage 100mm</t>
  </si>
  <si>
    <t>2025-0002</t>
  </si>
  <si>
    <t>Etablissement: Faculté des sciences et sciences appliquées</t>
  </si>
  <si>
    <r>
      <rPr>
        <b/>
        <sz val="10"/>
        <color theme="1"/>
        <rFont val="Times New Roman"/>
      </rPr>
      <t>Etablissement:</t>
    </r>
    <r>
      <rPr>
        <sz val="10"/>
        <color theme="1"/>
        <rFont val="Times New Roman"/>
      </rPr>
      <t xml:space="preserve"> Faculté des sciences et sciences appliquées</t>
    </r>
  </si>
  <si>
    <t>Adresse: Université Oum El-boughi, 04000, Algérie</t>
  </si>
  <si>
    <r>
      <rPr>
        <b/>
        <sz val="10"/>
        <color theme="1"/>
        <rFont val="Times New Roman"/>
      </rPr>
      <t>Adresse</t>
    </r>
    <r>
      <rPr>
        <sz val="10"/>
        <color theme="1"/>
        <rFont val="Times New Roman"/>
      </rPr>
      <t>: Université Oum El-boughi, 04000, Algérie</t>
    </r>
  </si>
  <si>
    <t>Code du client:  CLU26072023</t>
  </si>
  <si>
    <r>
      <rPr>
        <b/>
        <sz val="10"/>
        <color theme="1"/>
        <rFont val="Times New Roman"/>
      </rPr>
      <t>Code du client</t>
    </r>
    <r>
      <rPr>
        <sz val="10"/>
        <color theme="1"/>
        <rFont val="Times New Roman"/>
      </rPr>
      <t>:  CLU26072023</t>
    </r>
  </si>
  <si>
    <t>Adresse: Faculté des sciences et sciences appliquées, Oum Bouaghi, 04000, Algérie</t>
  </si>
  <si>
    <r>
      <rPr>
        <b/>
        <sz val="10"/>
        <color theme="1"/>
        <rFont val="Times New Roman"/>
      </rPr>
      <t>Adresse</t>
    </r>
    <r>
      <rPr>
        <sz val="10"/>
        <color theme="1"/>
        <rFont val="Times New Roman"/>
      </rPr>
      <t>: Faculté des sciences et sciences appliquées, Oum Bouaghi, 04000, Algérie</t>
    </r>
  </si>
  <si>
    <t>Nom: Faculté des sciences et sciences appliquées</t>
  </si>
  <si>
    <r>
      <rPr>
        <b/>
        <sz val="10"/>
        <color theme="1"/>
        <rFont val="Times New Roman"/>
      </rPr>
      <t>Nom:</t>
    </r>
    <r>
      <rPr>
        <sz val="10"/>
        <color theme="1"/>
        <rFont val="Times New Roman"/>
      </rPr>
      <t xml:space="preserve"> Faculté des sciences et sciences appliquées</t>
    </r>
  </si>
  <si>
    <t>Adresse: Faculté des sciences et sciences appliquées, Oum El-Bouaghi, 04000, Algérie</t>
  </si>
  <si>
    <r>
      <rPr>
        <b/>
        <sz val="10"/>
        <color theme="1"/>
        <rFont val="Times New Roman"/>
      </rPr>
      <t>Adresse</t>
    </r>
    <r>
      <rPr>
        <sz val="10"/>
        <color theme="1"/>
        <rFont val="Times New Roman"/>
      </rPr>
      <t>: Faculté des sciences et sciences appliquées, Oum El-Bouaghi, 04000, Algérie</t>
    </r>
  </si>
  <si>
    <t>Sept cent quatre vingt neuf mille trois cent</t>
  </si>
  <si>
    <t>Sept cent quatre vingt neuf mille trois cent Dinar Algérien et Zéro centimes</t>
  </si>
  <si>
    <t xml:space="preserve">Page 1/1 du bon de livraison N° </t>
  </si>
  <si>
    <r>
      <t>Page 1/1 du bon de livraison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</si>
  <si>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r>
      <rPr>
        <b/>
        <sz val="10"/>
        <color theme="1"/>
        <rFont val="Times New Roman"/>
      </rPr>
      <t>Code du client</t>
    </r>
    <r>
      <rPr>
        <sz val="10"/>
        <color theme="1"/>
        <rFont val="Times New Roman"/>
      </rPr>
      <t xml:space="preserve">:  </t>
    </r>
    <r>
      <rPr>
        <sz val="10"/>
        <color theme="1"/>
        <rFont val="Courier New"/>
      </rPr>
      <t>CLU26072023</t>
    </r>
  </si>
  <si>
    <t>bobine etein 100g, 1MM</t>
  </si>
  <si>
    <t>Capteur de température (sonde) sortie 0-10V</t>
  </si>
  <si>
    <t>pHmétre </t>
  </si>
  <si>
    <r>
      <t>pHmétre</t>
    </r>
    <r>
      <rPr>
        <sz val="11"/>
        <color theme="1"/>
        <rFont val="Calibri"/>
      </rPr>
      <t> </t>
    </r>
  </si>
  <si>
    <t>Conductivimétre </t>
  </si>
  <si>
    <r>
      <t>Conductivimétre</t>
    </r>
    <r>
      <rPr>
        <sz val="11"/>
        <color theme="1"/>
        <rFont val="Calibri"/>
      </rPr>
      <t> </t>
    </r>
  </si>
  <si>
    <t>Dessiccateur en verre avec Robinet Livré complet avec couvercle à robinet et disque perforé. Diamètre 300 mm.</t>
  </si>
  <si>
    <t>Superplastifiant MEDAFLOW 30 : Super plastifiant haut réducteur d’eau de la troisième génération. Il est conçu à base de Polycarboxylates d’Ether qui améliore considérablement les propriétés des bétons et permet d’obtenir des bétons et mortiers de très haute qualité</t>
  </si>
  <si>
    <t>A acide Chlorhydrique Solution d’eau distillée contenant 2,5% d’acide Chlorhydrique (Hcls).</t>
  </si>
  <si>
    <t>Agitateur magnétique 2L reglable.</t>
  </si>
  <si>
    <t>lamelles en verre  couvre objet 22x22 mm (50pcs)</t>
  </si>
  <si>
    <t>Lames en verre 30x45 mm (25 pcs)</t>
  </si>
  <si>
    <t>Gélose  Nutritifs  500g</t>
  </si>
  <si>
    <t xml:space="preserve">Gélose  Sabouraud 500g </t>
  </si>
  <si>
    <t>Eau Physiologique  1L</t>
  </si>
  <si>
    <t>Boites de pétri en plastique diamètre 90 mm</t>
  </si>
  <si>
    <t>Violet de gentiane 500ml</t>
  </si>
  <si>
    <t>Barreau magnétique 20mm*6mm</t>
  </si>
  <si>
    <t xml:space="preserve">Nacl  250g </t>
  </si>
  <si>
    <t>PDA  500g</t>
  </si>
  <si>
    <t>Huile à immerssion 250ml</t>
  </si>
  <si>
    <t>Micropipette variable100- 1000µL</t>
  </si>
  <si>
    <t>Cloroforme 2,5l</t>
  </si>
  <si>
    <t>butanol 2,5 L</t>
  </si>
  <si>
    <t xml:space="preserve">Méthanol  2,5L </t>
  </si>
  <si>
    <t xml:space="preserve">Tube a essai conique  avec  bouchon  en plastiques  vol 15ml </t>
  </si>
  <si>
    <t>Ballon  1000ml  24/29</t>
  </si>
  <si>
    <t>Réfregerant à bolle 24/29</t>
  </si>
  <si>
    <t>Réfregerant à sirpont  24/29</t>
  </si>
  <si>
    <r>
      <t>pHmétre</t>
    </r>
    <r>
      <rPr>
        <sz val="11"/>
        <color theme="1"/>
        <rFont val="Times New Roman"/>
      </rPr>
      <t> </t>
    </r>
  </si>
  <si>
    <r>
      <t>Conductivimétre</t>
    </r>
    <r>
      <rPr>
        <sz val="11"/>
        <color theme="1"/>
        <rFont val="Times New Roman"/>
      </rPr>
      <t> </t>
    </r>
  </si>
  <si>
    <r>
      <t>pHmétre</t>
    </r>
    <r>
      <rPr>
        <sz val="10"/>
        <color theme="1"/>
        <rFont val="Times New Roman"/>
      </rPr>
      <t> </t>
    </r>
  </si>
  <si>
    <r>
      <t>Conductivimétre</t>
    </r>
    <r>
      <rPr>
        <sz val="10"/>
        <color theme="1"/>
        <rFont val="Times New Roman"/>
      </rPr>
      <t> </t>
    </r>
  </si>
  <si>
    <t>2025-0009</t>
  </si>
  <si>
    <t>Nom: Faculté des sciences et de technologie</t>
  </si>
  <si>
    <r>
      <rPr>
        <b/>
        <sz val="10"/>
        <color theme="1"/>
        <rFont val="Times New Roman"/>
      </rPr>
      <t>Nom:</t>
    </r>
    <r>
      <rPr>
        <sz val="10"/>
        <color theme="1"/>
        <rFont val="Times New Roman"/>
      </rPr>
      <t xml:space="preserve"> Faculté des sciences et de technologie</t>
    </r>
  </si>
  <si>
    <t>Adresse: Faculté Tamenrasset, Tamenrasset, 10000, Algérie</t>
  </si>
  <si>
    <r>
      <rPr>
        <b/>
        <sz val="10"/>
        <color theme="1"/>
        <rFont val="Times New Roman"/>
      </rPr>
      <t>Adresse</t>
    </r>
    <r>
      <rPr>
        <sz val="10"/>
        <color theme="1"/>
        <rFont val="Times New Roman"/>
      </rPr>
      <t>: Faculté Tamenrasset, Tamenrasset, 10000, Algérie</t>
    </r>
  </si>
  <si>
    <t xml:space="preserve">Code du client:  </t>
  </si>
  <si>
    <r>
      <rPr>
        <b/>
        <sz val="10"/>
        <color theme="1"/>
        <rFont val="Times New Roman"/>
      </rPr>
      <t>Code du client</t>
    </r>
    <r>
      <rPr>
        <sz val="10"/>
        <color theme="1"/>
        <rFont val="Times New Roman"/>
      </rPr>
      <t xml:space="preserve">:  </t>
    </r>
  </si>
  <si>
    <t xml:space="preserve">Page 2/2 de la facture N° </t>
  </si>
  <si>
    <r>
      <t>Page 2/2 de la facture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</si>
  <si>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 xml:space="preserve">Page 1/2 de la facture N° </t>
  </si>
  <si>
    <r>
      <t>Page 1/2 de la facture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</si>
  <si>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>Report:</t>
  </si>
  <si>
    <t>Ballon  1000ml  29/32</t>
  </si>
  <si>
    <t xml:space="preserve">fIole jaugée 100ml </t>
  </si>
  <si>
    <t>Distributeur de flacon 5ml</t>
  </si>
  <si>
    <t>Eau physiologique 0,9%  500ml</t>
  </si>
  <si>
    <t>PCA 500g</t>
  </si>
  <si>
    <t>Ecouvillons 100 pcs</t>
  </si>
  <si>
    <t>Pipette Pasteur</t>
  </si>
  <si>
    <t xml:space="preserve">Parafilms </t>
  </si>
  <si>
    <t xml:space="preserve">Dispositif de filtration  sous vide  complet </t>
  </si>
  <si>
    <t>Eprouvette gradué  5ml</t>
  </si>
  <si>
    <t>burette 5ml</t>
  </si>
  <si>
    <t>burette gradué 10ml</t>
  </si>
  <si>
    <t>Gélose Mannitol mobilité nitrate (Chapman) 500g</t>
  </si>
  <si>
    <t xml:space="preserve">Glycerol 1l </t>
  </si>
  <si>
    <t xml:space="preserve">Tube à essai  avec bouchon en verre </t>
  </si>
  <si>
    <t xml:space="preserve">peptone 500g </t>
  </si>
  <si>
    <t>Milieu de culture VRBL gélose (gélose lactosée biliée) 500g</t>
  </si>
  <si>
    <t>isopropanol 1L</t>
  </si>
  <si>
    <t>reactif Kovacs 250ml</t>
  </si>
  <si>
    <t>Amidon 500g</t>
  </si>
  <si>
    <t>Agar bactériologique 500g</t>
  </si>
  <si>
    <t>Gélose PDA 500g</t>
  </si>
  <si>
    <t>Lugol 500mL</t>
  </si>
  <si>
    <t>Tubes à vis avec bouchon (boite 100 pcs)</t>
  </si>
  <si>
    <t>Tubes à hémolyse en plastique</t>
  </si>
  <si>
    <t>tubes à hémolyse en verre</t>
  </si>
  <si>
    <t>tubes coniques 50 mL</t>
  </si>
  <si>
    <t>Papier filtre (boite 100 pcs)</t>
  </si>
  <si>
    <t>Sachets déchets médicaux</t>
  </si>
  <si>
    <t>gants médicaux</t>
  </si>
  <si>
    <t>Masque médical</t>
  </si>
  <si>
    <t>Montant HT.</t>
  </si>
  <si>
    <t>Montant TTC.</t>
  </si>
  <si>
    <t>Contrat N°:16</t>
  </si>
  <si>
    <t>du 18/12/2025</t>
  </si>
  <si>
    <r>
      <t>du</t>
    </r>
    <r>
      <rPr>
        <sz val="10"/>
        <color theme="1"/>
        <rFont val="Times New Roman"/>
      </rPr>
      <t xml:space="preserve"> 18/12/2025</t>
    </r>
  </si>
  <si>
    <r>
      <rPr>
        <b/>
        <sz val="10"/>
        <color theme="1"/>
        <rFont val="Times New Roman"/>
      </rPr>
      <t>Contrat N°:</t>
    </r>
    <r>
      <rPr>
        <sz val="10"/>
        <color theme="1"/>
        <rFont val="Times New Roman"/>
      </rPr>
      <t>16</t>
    </r>
  </si>
  <si>
    <t>Deux millions sept cent quatre-vingt-douze mille huit cent</t>
  </si>
  <si>
    <t>Deux millions sept cent quatre-vingt-douze mille huit cent Dinar Algérien</t>
  </si>
  <si>
    <t>Unité</t>
  </si>
  <si>
    <t xml:space="preserve">Page 1/2 du bon de livraison N° </t>
  </si>
  <si>
    <r>
      <t>Page 1/2 d</t>
    </r>
    <r>
      <rPr>
        <b/>
        <sz val="10"/>
        <color theme="1"/>
        <rFont val="Times New Roman"/>
      </rPr>
      <t>u bon de livraison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</si>
  <si>
    <t xml:space="preserve">Page 2/2 du bon de livraison N° </t>
  </si>
  <si>
    <r>
      <t>Page 2/2 du bon de livraison N</t>
    </r>
    <r>
      <rPr>
        <sz val="10"/>
        <color theme="1"/>
        <rFont val="Times New Roman"/>
      </rPr>
      <t>°</t>
    </r>
    <r>
      <rPr>
        <b/>
        <sz val="10"/>
        <color theme="1"/>
        <rFont val="Times New Roman"/>
      </rPr>
      <t xml:space="preserve"> </t>
    </r>
  </si>
</sst>
</file>

<file path=xl/styles.xml><?xml version="1.0" encoding="utf-8"?>
<styleSheet xmlns="http://schemas.openxmlformats.org/spreadsheetml/2006/main">
  <numFmts count="5">
    <numFmt numFmtId="64" formatCode="_-* #,##0.0_-;\-* #,##0.0_-;_-* &quot;-&quot;?_-;_-@_-"/>
    <numFmt numFmtId="65" formatCode="0.0"/>
    <numFmt numFmtId="66" formatCode="_-* #,##0.00\ _€_-;\-* #,##0.00\ _€_-;_-* &quot;-&quot;??\ _€_-;_-@_-"/>
    <numFmt numFmtId="67" formatCode="0.00_ "/>
    <numFmt numFmtId="68" formatCode="0.000_ "/>
  </numFmts>
  <fonts count="163">
    <font>
      <sz val="11.0"/>
      <name val="Times New Roman"/>
      <color theme="1"/>
    </font>
    <font>
      <sz val="8.0"/>
      <name val="Times New Roman"/>
      <color rgb="FF000000"/>
    </font>
    <font>
      <u/>
      <sz val="11.0"/>
      <name val="Times New Roman"/>
      <color theme="10"/>
    </font>
    <font>
      <u/>
      <sz val="11.0"/>
      <name val="Times New Roman"/>
      <color theme="11"/>
    </font>
    <font>
      <sz val="11.0"/>
      <name val="Times New Roman"/>
      <color rgb="FFFF0000"/>
    </font>
    <font>
      <sz val="18.0"/>
      <name val="Times New Roman"/>
      <color theme="3"/>
    </font>
    <font>
      <b/>
      <sz val="15.0"/>
      <name val="Times New Roman"/>
      <color theme="3"/>
    </font>
    <font>
      <b/>
      <sz val="13.0"/>
      <name val="Times New Roman"/>
      <color theme="3"/>
    </font>
    <font>
      <b/>
      <sz val="11.0"/>
      <name val="Times New Roman"/>
      <color theme="3"/>
    </font>
    <font>
      <sz val="11.0"/>
      <name val="Times New Roman"/>
      <color rgb="FF3F3F76"/>
    </font>
    <font>
      <b/>
      <sz val="11.0"/>
      <name val="Times New Roman"/>
      <color rgb="FF3F3F3F"/>
    </font>
    <font>
      <b/>
      <sz val="11.0"/>
      <name val="Times New Roman"/>
      <color rgb="FFFA7D00"/>
    </font>
    <font>
      <b/>
      <sz val="11.0"/>
      <name val="Times New Roman"/>
      <color rgb="FFFFFFFF"/>
    </font>
    <font>
      <sz val="11.0"/>
      <name val="Times New Roman"/>
      <color rgb="FFFA7D00"/>
    </font>
    <font>
      <b/>
      <sz val="11.0"/>
      <name val="Times New Roman"/>
      <color theme="1"/>
    </font>
    <font>
      <sz val="11.0"/>
      <name val="Times New Roman"/>
      <color rgb="FF006100"/>
    </font>
    <font>
      <sz val="11.0"/>
      <name val="Times New Roman"/>
      <color rgb="FF9C0006"/>
    </font>
    <font>
      <sz val="11.0"/>
      <name val="Times New Roman"/>
      <color rgb="FF9C6500"/>
    </font>
    <font>
      <sz val="11.0"/>
      <name val="Times New Roman"/>
      <color theme="0"/>
    </font>
    <font>
      <i/>
      <sz val="11.0"/>
      <name val="Times New Roman"/>
      <color rgb="FF7F7F7F"/>
    </font>
    <font>
      <vertAlign val="superscript"/>
      <sz val="9.0"/>
      <name val="Times New Roman"/>
      <color theme="1"/>
    </font>
    <font>
      <sz val="9.0"/>
      <name val="Times New Roman"/>
      <color theme="1"/>
    </font>
    <font>
      <b/>
      <sz val="10.0"/>
      <name val="Avenir Black"/>
      <color theme="1"/>
    </font>
    <font>
      <b/>
      <sz val="9.0"/>
      <name val="Times New Roman"/>
      <color theme="1"/>
    </font>
    <font>
      <sz val="10.0"/>
      <name val="Times New Roman"/>
      <color theme="1"/>
    </font>
    <font>
      <b/>
      <sz val="11.0"/>
      <name val="Times New Roman"/>
      <color rgb="FF000000"/>
    </font>
    <font>
      <sz val="1.0"/>
      <name val="Times New Roman"/>
      <color rgb="FF000000"/>
    </font>
    <font>
      <b/>
      <sz val="9.0"/>
      <name val="Times New Roman"/>
      <color rgb="FF000000"/>
    </font>
    <font>
      <b/>
      <sz val="10.0"/>
      <name val="Times New Roman"/>
      <color rgb="FF000000"/>
    </font>
    <font>
      <sz val="10.0"/>
      <name val="Times New Roman"/>
      <color rgb="FF000000"/>
    </font>
    <font>
      <sz val="9.0"/>
      <name val="Times New Roman"/>
      <color rgb="FF000000"/>
    </font>
    <font>
      <b/>
      <sz val="12.0"/>
      <name val="Times New Roman"/>
      <color rgb="FF000000"/>
    </font>
    <font>
      <sz val="12.0"/>
      <name val="Times New Roman"/>
      <color rgb="FF000000"/>
    </font>
    <font>
      <sz val="10.0"/>
      <name val="Courier New"/>
      <color rgb="FF000000"/>
    </font>
    <font>
      <b/>
      <sz val="10.0"/>
      <name val="Avenir Black"/>
      <color rgb="FF000000"/>
    </font>
    <font>
      <i/>
      <sz val="10.0"/>
      <name val="Courier New"/>
      <color rgb="FF000000"/>
    </font>
    <font>
      <sz val="13.0"/>
      <name val="Calibri"/>
      <color theme="1"/>
    </font>
    <font>
      <sz val="11.5"/>
      <name val="Calibri"/>
      <color theme="1"/>
    </font>
    <font>
      <sz val="13.0"/>
      <name val="Helvetica"/>
      <color rgb="FF1D2228"/>
    </font>
    <font>
      <sz val="13.0"/>
      <name val="Times New Roman"/>
      <color theme="1"/>
    </font>
    <font>
      <sz val="11.5"/>
      <name val="Times New Roman"/>
      <color theme="1"/>
    </font>
    <font>
      <sz val="12.0"/>
      <name val="Times New Roman"/>
      <color rgb="FF222222"/>
    </font>
    <font>
      <sz val="12.0"/>
      <name val="Times New Roman"/>
      <color theme="1"/>
    </font>
    <font>
      <sz val="10.0"/>
      <name val="Times New Roman"/>
      <color rgb="FF222222"/>
    </font>
    <font>
      <sz val="12.0"/>
      <name val="Courier New"/>
      <color theme="1"/>
    </font>
    <font>
      <sz val="10.0"/>
      <name val="Courier New"/>
      <color theme="1"/>
    </font>
    <font>
      <sz val="9.0"/>
      <name val="Times New Roman"/>
      <color rgb="FF222222"/>
    </font>
    <font>
      <sz val="9.0"/>
      <name val="Calibri"/>
      <color theme="1"/>
    </font>
    <font>
      <sz val="9.0"/>
      <name val="Helvetica"/>
      <color rgb="FF1D2228"/>
    </font>
    <font>
      <sz val="9.0"/>
      <name val="Times New Roman"/>
      <color rgb="FF1D2228"/>
    </font>
    <font>
      <sz val="10.0"/>
      <name val="Calibri"/>
      <color theme="1"/>
    </font>
    <font>
      <sz val="9.0"/>
      <name val="Courier New"/>
      <color theme="1"/>
    </font>
    <font>
      <b/>
      <sz val="10.0"/>
      <name val="Arial"/>
      <color rgb="FF000000"/>
    </font>
    <font>
      <sz val="10.0"/>
      <name val="Arial"/>
      <color rgb="FF000000"/>
    </font>
    <font>
      <b/>
      <sz val="10.0"/>
      <name val="Avenir"/>
      <color rgb="FF000000"/>
    </font>
    <font>
      <sz val="10.0"/>
      <name val="Avenir"/>
      <color rgb="FF000000"/>
    </font>
    <font>
      <sz val="10.5"/>
      <name val="Times New Roman"/>
      <color rgb="FF000000"/>
    </font>
    <font>
      <sz val="11.0"/>
      <name val="Calibri"/>
      <color theme="1"/>
    </font>
    <font>
      <sz val="10.5"/>
      <name val="Roboto"/>
      <color rgb="FF000000"/>
    </font>
    <font>
      <sz val="12.0"/>
      <name val="Times New Roman"/>
      <color rgb="FF0F1111"/>
    </font>
    <font>
      <b/>
      <sz val="12.0"/>
      <name val="Times New Roman"/>
      <color rgb="FF1D2228"/>
    </font>
    <font>
      <b/>
      <sz val="12.0"/>
      <name val="Times New Roman"/>
      <color theme="1"/>
    </font>
    <font>
      <sz val="12.0"/>
      <name val="Times New Roman"/>
      <color rgb="FF212529"/>
    </font>
    <font>
      <sz val="12.0"/>
      <name val="Times"/>
      <color rgb="FF000000"/>
    </font>
    <font>
      <sz val="10.5"/>
      <name val="Times"/>
      <color rgb="FF000000"/>
    </font>
    <font>
      <sz val="10.0"/>
      <name val="Times"/>
      <color rgb="FF000000"/>
    </font>
    <font>
      <b/>
      <sz val="10.5"/>
      <name val="Roboto"/>
      <color rgb="FF000000"/>
    </font>
    <font>
      <b/>
      <sz val="12.0"/>
      <name val="Times New Roman"/>
      <color rgb="FF0F1111"/>
    </font>
    <font>
      <b/>
      <sz val="12.0"/>
      <name val="Times New Roman"/>
      <color rgb="FF222222"/>
    </font>
    <font>
      <b/>
      <sz val="12.0"/>
      <name val="Times New Roman"/>
      <color rgb="FF212529"/>
    </font>
    <font>
      <b/>
      <sz val="9.0"/>
      <name val="Times New Roman"/>
      <color rgb="FF222222"/>
    </font>
    <font>
      <sz val="12.0"/>
      <name val="Times New Roman"/>
      <color rgb="FF1D2228"/>
    </font>
    <font>
      <sz val="10.0"/>
      <name val="Roboto"/>
      <color rgb="FF000000"/>
    </font>
    <font>
      <sz val="10.0"/>
      <name val="Times New Roman"/>
      <color rgb="FF0F1111"/>
    </font>
    <font>
      <sz val="10.0"/>
      <name val="Times New Roman"/>
      <color rgb="FF1D2228"/>
    </font>
    <font>
      <sz val="10.0"/>
      <name val="Times New Roman"/>
      <color rgb="FF212529"/>
    </font>
    <font>
      <sz val="10.0"/>
      <name val="Times"/>
      <color rgb="FF0F1111"/>
    </font>
    <font>
      <sz val="10.0"/>
      <name val="Times"/>
      <color rgb="FF1D2228"/>
    </font>
    <font>
      <sz val="10.0"/>
      <name val="Times"/>
      <color theme="1"/>
    </font>
    <font>
      <sz val="10.0"/>
      <name val="Times"/>
      <color rgb="FF222222"/>
    </font>
    <font>
      <sz val="10.0"/>
      <name val="Times"/>
      <color rgb="FF212529"/>
    </font>
    <font>
      <sz val="12.0"/>
      <name val="Times"/>
      <color rgb="FF222222"/>
    </font>
    <font>
      <sz val="12.0"/>
      <name val="Times"/>
      <color theme="1"/>
    </font>
    <font>
      <sz val="11.0"/>
      <name val="Courier New"/>
      <color theme="1"/>
    </font>
    <font>
      <sz val="9.0"/>
      <name val="Academy Engraved LET"/>
      <color rgb="FF000000"/>
    </font>
    <font>
      <sz val="9.0"/>
      <name val="Al Bayan"/>
      <color rgb="FF000000"/>
    </font>
    <font>
      <sz val="9.0"/>
      <name val="Al Nile"/>
      <color rgb="FF000000"/>
    </font>
    <font>
      <sz val="9.0"/>
      <name val="Al Tarikh"/>
      <color rgb="FF000000"/>
    </font>
    <font>
      <sz val="9.0"/>
      <name val="American Typewriter"/>
      <color rgb="FF000000"/>
    </font>
    <font>
      <sz val="9.0"/>
      <name val="Andale Mono"/>
      <color rgb="FF000000"/>
    </font>
    <font>
      <sz val="9.0"/>
      <name val="Apple Braille"/>
      <color rgb="FF000000"/>
    </font>
    <font>
      <sz val="9.0"/>
      <name val="Apple Chancery"/>
      <color rgb="FF000000"/>
    </font>
    <font>
      <sz val="9.0"/>
      <name val="Apple Color Emoji"/>
      <color rgb="FF000000"/>
    </font>
    <font>
      <sz val="9.0"/>
      <name val="Apple SD Gothic Neo"/>
      <color rgb="FF000000"/>
    </font>
    <font>
      <sz val="9.0"/>
      <name val="Apple Symbols"/>
      <color rgb="FF000000"/>
    </font>
    <font>
      <sz val="9.0"/>
      <name val="AppleGothic"/>
      <color rgb="FF000000"/>
    </font>
    <font>
      <sz val="9.0"/>
      <name val="AppleMyungjo"/>
      <color rgb="FF000000"/>
    </font>
    <font>
      <sz val="9.0"/>
      <name val="Arial"/>
      <color rgb="FF000000"/>
    </font>
    <font>
      <sz val="9.0"/>
      <name val="Arial Black"/>
      <color rgb="FF000000"/>
    </font>
    <font>
      <sz val="9.0"/>
      <name val="Arial Hebrew"/>
      <color rgb="FF000000"/>
    </font>
    <font>
      <sz val="9.0"/>
      <name val="Arial Hebrew Scholar"/>
      <color rgb="FF000000"/>
    </font>
    <font>
      <sz val="9.0"/>
      <name val="Arial Narrow"/>
      <color rgb="FF000000"/>
    </font>
    <font>
      <sz val="9.0"/>
      <name val="Arial Rounded MT Bold"/>
      <color rgb="FF000000"/>
    </font>
    <font>
      <sz val="9.0"/>
      <name val="Arial Unicode MS"/>
      <color rgb="FF000000"/>
    </font>
    <font>
      <sz val="9.0"/>
      <name val="Artifakt Element"/>
      <color rgb="FF000000"/>
    </font>
    <font>
      <sz val="9.0"/>
      <name val="Athelas"/>
      <color rgb="FF000000"/>
    </font>
    <font>
      <sz val="9.0"/>
      <name val="Avenir"/>
      <color rgb="FF000000"/>
    </font>
    <font>
      <sz val="9.0"/>
      <name val="Avenir Black"/>
      <color rgb="FF000000"/>
    </font>
    <font>
      <sz val="9.0"/>
      <name val="Avenir Black Oblique"/>
      <color rgb="FF000000"/>
    </font>
    <font>
      <sz val="9.0"/>
      <name val="Avenir Book"/>
      <color rgb="FF000000"/>
    </font>
    <font>
      <sz val="9.0"/>
      <name val="Avenir Heavy"/>
      <color rgb="FF000000"/>
    </font>
    <font>
      <sz val="9.0"/>
      <name val="Avenir Light"/>
      <color rgb="FF000000"/>
    </font>
    <font>
      <sz val="9.0"/>
      <name val="Avenir Medium"/>
      <color rgb="FF000000"/>
    </font>
    <font>
      <sz val="9.0"/>
      <name val="Avenir Next"/>
      <color rgb="FF000000"/>
    </font>
    <font>
      <sz val="9.0"/>
      <name val="Avenir Next Condensed"/>
      <color rgb="FF000000"/>
    </font>
    <font>
      <sz val="9.0"/>
      <name val="Avenir Next Condensed Demi Bold"/>
      <color rgb="FF000000"/>
    </font>
    <font>
      <sz val="9.0"/>
      <name val="Avenir Next Condensed Heavy"/>
      <color rgb="FF000000"/>
    </font>
    <font>
      <sz val="9.0"/>
      <name val="Avenir Next Condensed Medium"/>
      <color rgb="FF000000"/>
    </font>
    <font>
      <sz val="9.0"/>
      <name val="Avenir Next Demi Bold"/>
      <color rgb="FF000000"/>
    </font>
    <font>
      <sz val="9.0"/>
      <name val="Avenir Next Heavy"/>
      <color rgb="FF000000"/>
    </font>
    <font>
      <sz val="9.0"/>
      <name val="Avenir Next Medium"/>
      <color rgb="FF000000"/>
    </font>
    <font>
      <sz val="9.0"/>
      <name val="Avenir Next Ultra Light"/>
      <color rgb="FF000000"/>
    </font>
    <font>
      <sz val="9.0"/>
      <name val="Ayuthaya"/>
      <color rgb="FF000000"/>
    </font>
    <font>
      <sz val="9.0"/>
      <name val="Baghdad"/>
      <color rgb="FF000000"/>
    </font>
    <font>
      <sz val="9.0"/>
      <name val="Bangla MN"/>
      <color rgb="FF000000"/>
    </font>
    <font>
      <sz val="9.0"/>
      <name val="Bangla Sangam MN"/>
      <color rgb="FF000000"/>
    </font>
    <font>
      <sz val="9.0"/>
      <name val="Baskerville"/>
      <color rgb="FF000000"/>
    </font>
    <font>
      <sz val="9.0"/>
      <name val="Beirut"/>
      <color rgb="FF000000"/>
    </font>
    <font>
      <sz val="9.0"/>
      <name val="Big Caslon"/>
      <color rgb="FF000000"/>
    </font>
    <font>
      <sz val="9.0"/>
      <name val="Bodoni 72"/>
      <color rgb="FF000000"/>
    </font>
    <font>
      <sz val="9.0"/>
      <name val="Bodoni 72 Oldstyle"/>
      <color rgb="FF000000"/>
    </font>
    <font>
      <sz val="9.0"/>
      <name val="Bodoni 72 Smallcaps"/>
      <color rgb="FF000000"/>
    </font>
    <font>
      <sz val="9.0"/>
      <name val="Bodoni Ornaments"/>
      <color rgb="FF000000"/>
    </font>
    <font>
      <sz val="9.0"/>
      <name val="Courier New"/>
      <color rgb="FF000000"/>
    </font>
    <font>
      <sz val="9.0"/>
      <name val="Times"/>
      <color rgb="FF000000"/>
    </font>
    <font>
      <sz val="9.0"/>
      <name val="Times"/>
      <color rgb="FF0F1111"/>
    </font>
    <font>
      <sz val="9.0"/>
      <name val="Times"/>
      <color rgb="FF1D2228"/>
    </font>
    <font>
      <sz val="9.0"/>
      <name val="Times"/>
      <color theme="1"/>
    </font>
    <font>
      <sz val="9.0"/>
      <name val="Times"/>
      <color rgb="FF222222"/>
    </font>
    <font>
      <sz val="9.0"/>
      <name val="Times"/>
      <color rgb="FF212529"/>
    </font>
    <font>
      <sz val="9.0"/>
      <name val="Times New Roman"/>
      <color rgb="FF0F1111"/>
    </font>
    <font>
      <sz val="9.0"/>
      <name val="Times New Roman"/>
      <color rgb="FF212529"/>
    </font>
    <font>
      <b/>
      <sz val="10.0"/>
      <name val="Courier New"/>
      <color rgb="FF000000"/>
    </font>
    <font>
      <b/>
      <sz val="9.0"/>
      <name val="Courier New"/>
      <color theme="1"/>
    </font>
    <font>
      <b/>
      <sz val="10.0"/>
      <name val="Courier New"/>
      <color theme="1"/>
    </font>
    <font>
      <b/>
      <sz val="10.0"/>
      <name val="Times New Roman"/>
      <color theme="1"/>
    </font>
    <font>
      <sz val="10.0"/>
      <name val="Times New Roman"/>
      <color rgb="FFFF0000"/>
    </font>
    <font>
      <sz val="7.0"/>
      <name val="Times New Roman"/>
      <color rgb="FF000000"/>
    </font>
    <font>
      <sz val="11.0"/>
      <name val="Times New Roman"/>
      <color rgb="FF000000"/>
    </font>
    <font>
      <i/>
      <sz val="7.0"/>
      <name val="Times New Roman"/>
      <color rgb="FF000000"/>
    </font>
    <font>
      <u/>
      <sz val="9.0"/>
      <name val="Courier New"/>
      <color theme="1"/>
    </font>
    <font>
      <u/>
      <sz val="10.0"/>
      <name val="Times New Roman"/>
      <color theme="1"/>
    </font>
    <font>
      <u/>
      <sz val="10.0"/>
      <name val="Courier New"/>
      <color theme="1"/>
    </font>
    <font>
      <sz val="10.0"/>
      <name val="Times New Roman"/>
      <color rgb="FF1C1917"/>
    </font>
    <font>
      <vertAlign val="superscript"/>
      <sz val="10.0"/>
      <name val="Times New Roman"/>
      <color theme="1"/>
    </font>
    <font>
      <sz val="10.0"/>
      <name val="Times New Roman"/>
      <color rgb="FF4A4A4A"/>
    </font>
    <font>
      <b/>
      <sz val="14.0"/>
      <name val="Times New Roman"/>
      <color theme="1"/>
    </font>
    <font>
      <u/>
      <sz val="10.0"/>
      <name val="Times New Roman"/>
      <color theme="10"/>
    </font>
    <font>
      <b/>
      <sz val="10.0"/>
      <name val="Times New Roman"/>
      <color rgb="FF1C1917"/>
    </font>
    <font>
      <sz val="10.0"/>
      <name val="Arial"/>
      <color rgb="FF1C1917"/>
    </font>
    <font>
      <vertAlign val="superscript"/>
      <sz val="10.0"/>
      <name val="Times New Roman"/>
      <color rgb="FF1C1917"/>
    </font>
    <font>
      <b/>
      <sz val="10.0"/>
      <name val="Times"/>
      <color theme="1"/>
    </font>
    <font>
      <sz val="11.0"/>
      <name val="Calibri"/>
      <color rgb="FF000000"/>
    </font>
  </fonts>
  <fills count="4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4D009A"/>
        <bgColor rgb="FF000000"/>
      </patternFill>
    </fill>
    <fill>
      <patternFill patternType="solid">
        <fgColor rgb="FFFBE5D6"/>
        <bgColor rgb="FF000000"/>
      </patternFill>
    </fill>
    <fill>
      <patternFill patternType="solid">
        <fgColor rgb="FFDEEBF7"/>
        <bgColor rgb="FF000000"/>
      </patternFill>
    </fill>
    <fill>
      <patternFill patternType="solid">
        <fgColor rgb="FF36B7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0066"/>
        <bgColor rgb="FF000000"/>
      </patternFill>
    </fill>
    <fill>
      <patternFill patternType="solid">
        <fgColor rgb="FF0611F2"/>
        <bgColor rgb="FF000000"/>
      </patternFill>
    </fill>
    <fill>
      <patternFill patternType="solid">
        <fgColor rgb="FFF8CBAD"/>
        <bgColor rgb="FF000000"/>
      </patternFill>
    </fill>
  </fills>
  <borders count="44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727">
    <xf numFmtId="0" fontId="0" fillId="0" borderId="0" xfId="0">
      <alignment vertical="center"/>
    </xf>
    <xf numFmtId="0" fontId="22" fillId="0" borderId="10" xfId="0" applyBorder="1" applyAlignment="1">
      <alignment horizontal="center" vertical="center"/>
    </xf>
    <xf numFmtId="0" fontId="22" fillId="0" borderId="10" xfId="0" applyBorder="1">
      <alignment vertical="center"/>
    </xf>
    <xf numFmtId="43" fontId="22" fillId="0" borderId="10" xfId="0" applyBorder="1">
      <alignment vertical="center"/>
    </xf>
    <xf numFmtId="0" fontId="21" fillId="0" borderId="0" xfId="0" applyAlignment="1">
      <alignment horizontal="right" vertical="center"/>
    </xf>
    <xf numFmtId="0" fontId="21" fillId="0" borderId="0" xfId="0" applyBorder="1">
      <alignment vertical="center"/>
    </xf>
    <xf numFmtId="0" fontId="21" fillId="0" borderId="0" xfId="0" applyAlignment="1">
      <alignment horizontal="center" vertical="center"/>
    </xf>
    <xf numFmtId="43" fontId="21" fillId="0" borderId="0" xfId="0">
      <alignment vertical="center"/>
    </xf>
    <xf numFmtId="0" fontId="21" fillId="0" borderId="0" xfId="0" applyBorder="1" applyAlignment="1">
      <alignment vertical="center" wrapText="1"/>
    </xf>
    <xf numFmtId="0" fontId="21" fillId="0" borderId="11" xfId="0" applyBorder="1" applyAlignment="1">
      <alignment horizontal="right" vertical="center"/>
    </xf>
    <xf numFmtId="0" fontId="21" fillId="0" borderId="11" xfId="0" applyBorder="1" applyAlignment="1">
      <alignment horizontal="center" vertical="center"/>
    </xf>
    <xf numFmtId="43" fontId="21" fillId="0" borderId="11" xfId="0" applyBorder="1">
      <alignment vertical="center"/>
    </xf>
    <xf numFmtId="0" fontId="21" fillId="0" borderId="0" xfId="0">
      <alignment vertical="center"/>
    </xf>
    <xf numFmtId="0" fontId="23" fillId="0" borderId="11" xfId="0" applyBorder="1">
      <alignment vertical="center"/>
    </xf>
    <xf numFmtId="43" fontId="23" fillId="0" borderId="11" xfId="0" applyBorder="1">
      <alignment vertical="center"/>
    </xf>
    <xf numFmtId="0" fontId="24" fillId="0" borderId="0" xfId="0" applyAlignment="1">
      <alignment horizontal="right" vertical="center"/>
    </xf>
    <xf numFmtId="0" fontId="24" fillId="0" borderId="0" xfId="0">
      <alignment vertical="center"/>
    </xf>
    <xf numFmtId="0" fontId="24" fillId="0" borderId="0" xfId="0" applyAlignment="1">
      <alignment horizontal="center" vertical="center"/>
    </xf>
    <xf numFmtId="43" fontId="24" fillId="0" borderId="0" xfId="0">
      <alignment vertical="center"/>
    </xf>
    <xf numFmtId="0" fontId="0" fillId="33" borderId="0" xfId="0">
      <alignment vertical="center"/>
    </xf>
    <xf numFmtId="0" fontId="0" fillId="34" borderId="0" xfId="0">
      <alignment vertical="center"/>
    </xf>
    <xf numFmtId="0" fontId="21" fillId="33" borderId="0" xfId="0">
      <alignment vertical="center"/>
    </xf>
    <xf numFmtId="0" fontId="21" fillId="34" borderId="0" xfId="0">
      <alignment vertical="center"/>
    </xf>
    <xf numFmtId="0" fontId="21" fillId="0" borderId="0" xfId="0" applyFill="1">
      <alignment vertical="center"/>
    </xf>
    <xf numFmtId="0" fontId="21" fillId="0" borderId="11" xfId="0" applyFill="1" applyBorder="1">
      <alignment vertical="center"/>
    </xf>
    <xf numFmtId="43" fontId="21" fillId="0" borderId="11" xfId="0" applyFill="1" applyBorder="1">
      <alignment vertical="center"/>
    </xf>
    <xf numFmtId="41" fontId="21" fillId="0" borderId="0" xfId="0" applyNumberFormat="1" applyBorder="1">
      <alignment vertical="center"/>
    </xf>
    <xf numFmtId="41" fontId="21" fillId="0" borderId="0" xfId="0" applyNumberFormat="1" applyFill="1" applyBorder="1">
      <alignment vertical="center"/>
    </xf>
    <xf numFmtId="41" fontId="21" fillId="0" borderId="11" xfId="0" applyNumberFormat="1" applyFill="1" applyBorder="1">
      <alignment vertical="center"/>
    </xf>
    <xf numFmtId="64" fontId="21" fillId="0" borderId="0" xfId="0" applyNumberFormat="1" applyBorder="1">
      <alignment vertical="center"/>
    </xf>
    <xf numFmtId="64" fontId="21" fillId="0" borderId="0" xfId="0" applyNumberFormat="1" applyFill="1" applyBorder="1">
      <alignment vertical="center"/>
    </xf>
    <xf numFmtId="64" fontId="21" fillId="0" borderId="11" xfId="0" applyNumberFormat="1" applyFill="1" applyBorder="1">
      <alignment vertical="center"/>
    </xf>
    <xf numFmtId="43" fontId="21" fillId="0" borderId="0" xfId="0" applyNumberFormat="1" applyBorder="1">
      <alignment vertical="center"/>
    </xf>
    <xf numFmtId="43" fontId="21" fillId="0" borderId="0" xfId="0" applyNumberFormat="1" applyFill="1" applyBorder="1">
      <alignment vertical="center"/>
    </xf>
    <xf numFmtId="43" fontId="21" fillId="0" borderId="11" xfId="0" applyNumberFormat="1" applyFill="1" applyBorder="1">
      <alignment vertical="center"/>
    </xf>
    <xf numFmtId="41" fontId="23" fillId="0" borderId="11" xfId="0" applyNumberFormat="1" applyBorder="1">
      <alignment vertical="center"/>
    </xf>
    <xf numFmtId="64" fontId="23" fillId="0" borderId="11" xfId="0" applyNumberFormat="1" applyBorder="1">
      <alignment vertical="center"/>
    </xf>
    <xf numFmtId="43" fontId="23" fillId="0" borderId="11" xfId="0" applyNumberFormat="1" applyBorder="1">
      <alignment vertical="center"/>
    </xf>
    <xf numFmtId="0" fontId="21" fillId="0" borderId="11" xfId="0" applyBorder="1">
      <alignment vertical="center"/>
    </xf>
    <xf numFmtId="43" fontId="21" fillId="0" borderId="11" xfId="0" applyNumberFormat="1" applyBorder="1">
      <alignment vertical="center"/>
    </xf>
    <xf numFmtId="0" fontId="24" fillId="0" borderId="11" xfId="0" applyBorder="1" applyAlignment="1">
      <alignment horizontal="right" vertical="center"/>
    </xf>
    <xf numFmtId="0" fontId="24" fillId="0" borderId="11" xfId="0" applyBorder="1">
      <alignment vertical="center"/>
    </xf>
    <xf numFmtId="0" fontId="24" fillId="0" borderId="11" xfId="0" applyBorder="1" applyAlignment="1">
      <alignment horizontal="center" vertical="center"/>
    </xf>
    <xf numFmtId="43" fontId="24" fillId="0" borderId="11" xfId="0" applyBorder="1">
      <alignment vertical="center"/>
    </xf>
    <xf numFmtId="43" fontId="24" fillId="0" borderId="12" xfId="0" applyBorder="1">
      <alignment vertical="center"/>
    </xf>
    <xf numFmtId="43" fontId="24" fillId="0" borderId="13" xfId="0" applyBorder="1">
      <alignment vertical="center"/>
    </xf>
    <xf numFmtId="43" fontId="24" fillId="0" borderId="0" xfId="0" applyBorder="1">
      <alignment vertical="center"/>
    </xf>
    <xf numFmtId="0" fontId="24" fillId="0" borderId="0" xfId="0" applyBorder="1">
      <alignment vertical="center"/>
    </xf>
    <xf numFmtId="0" fontId="24" fillId="0" borderId="14" xfId="0" applyBorder="1" applyAlignment="1">
      <alignment horizontal="right" vertical="center"/>
    </xf>
    <xf numFmtId="0" fontId="24" fillId="0" borderId="15" xfId="0" applyBorder="1" applyAlignment="1">
      <alignment horizontal="right" vertical="center"/>
    </xf>
    <xf numFmtId="0" fontId="0" fillId="35" borderId="0" xfId="0">
      <alignment vertical="center"/>
    </xf>
    <xf numFmtId="0" fontId="0" fillId="0" borderId="0" xfId="0" applyFill="1" applyBorder="1">
      <alignment vertical="center"/>
    </xf>
    <xf numFmtId="0" fontId="21" fillId="0" borderId="0" xfId="0" applyFill="1" applyBorder="1" applyAlignment="1">
      <alignment horizontal="center" vertical="center"/>
    </xf>
    <xf numFmtId="0" fontId="24" fillId="0" borderId="0" xfId="0" applyFill="1" applyBorder="1" applyAlignment="1">
      <alignment horizontal="center" vertical="center"/>
    </xf>
    <xf numFmtId="0" fontId="24" fillId="0" borderId="0" xfId="0" applyFill="1" applyBorder="1">
      <alignment vertical="center"/>
    </xf>
    <xf numFmtId="0" fontId="21" fillId="0" borderId="0" xfId="0" applyFill="1" applyBorder="1">
      <alignment vertical="center"/>
    </xf>
    <xf numFmtId="0" fontId="21" fillId="0" borderId="11" xfId="0" applyFill="1" applyBorder="1" applyAlignment="1">
      <alignment horizontal="center" vertical="center"/>
    </xf>
    <xf numFmtId="0" fontId="21" fillId="0" borderId="0" xfId="0" applyFill="1" applyBorder="1" applyAlignment="1">
      <alignment vertical="center" wrapText="1"/>
    </xf>
    <xf numFmtId="0" fontId="0" fillId="36" borderId="0" xfId="0">
      <alignment vertical="center"/>
    </xf>
    <xf numFmtId="64" fontId="21" fillId="0" borderId="16" xfId="0" applyNumberFormat="1" applyFill="1" applyBorder="1">
      <alignment vertical="center"/>
    </xf>
    <xf numFmtId="43" fontId="21" fillId="0" borderId="16" xfId="0" applyNumberFormat="1" applyFill="1" applyBorder="1">
      <alignment vertical="center"/>
    </xf>
    <xf numFmtId="43" fontId="22" fillId="0" borderId="10" xfId="0" applyBorder="1" applyAlignment="1">
      <alignment horizontal="center" vertical="center"/>
    </xf>
    <xf numFmtId="0" fontId="24" fillId="0" borderId="0" xfId="0" applyBorder="1" applyAlignment="1">
      <alignment horizontal="right" vertical="center"/>
    </xf>
    <xf numFmtId="0" fontId="21" fillId="0" borderId="11" xfId="0" applyFill="1" applyBorder="1" applyAlignment="1">
      <alignment vertical="center" wrapText="1"/>
    </xf>
    <xf numFmtId="65" fontId="21" fillId="0" borderId="0" xfId="0" applyNumberFormat="1" applyFill="1" applyBorder="1">
      <alignment vertical="center"/>
    </xf>
    <xf numFmtId="2" fontId="21" fillId="0" borderId="0" xfId="0" applyNumberFormat="1" applyFill="1" applyBorder="1">
      <alignment vertical="center"/>
    </xf>
    <xf numFmtId="2" fontId="21" fillId="0" borderId="11" xfId="0" applyNumberFormat="1" applyFill="1" applyBorder="1">
      <alignment vertical="center"/>
    </xf>
    <xf numFmtId="0" fontId="0" fillId="34" borderId="11" xfId="0" applyBorder="1">
      <alignment vertical="center"/>
    </xf>
    <xf numFmtId="0" fontId="0" fillId="0" borderId="11" xfId="0" applyFill="1" applyBorder="1">
      <alignment vertical="center"/>
    </xf>
    <xf numFmtId="0" fontId="29" fillId="0" borderId="0" xfId="0" applyBorder="1" applyAlignment="1">
      <alignment horizontal="right" vertical="center"/>
    </xf>
    <xf numFmtId="43" fontId="26" fillId="0" borderId="11" xfId="0" applyBorder="1">
      <alignment vertical="center"/>
    </xf>
    <xf numFmtId="0" fontId="23" fillId="0" borderId="0" xfId="0" applyBorder="1">
      <alignment vertical="center"/>
    </xf>
    <xf numFmtId="0" fontId="21" fillId="0" borderId="0" xfId="0" applyBorder="1" applyAlignment="1">
      <alignment horizontal="center" vertical="center"/>
    </xf>
    <xf numFmtId="43" fontId="23" fillId="0" borderId="0" xfId="0" applyNumberFormat="1" applyBorder="1">
      <alignment vertical="center"/>
    </xf>
    <xf numFmtId="43" fontId="26" fillId="0" borderId="0" xfId="0" applyBorder="1">
      <alignment vertical="center"/>
    </xf>
    <xf numFmtId="0" fontId="21" fillId="37" borderId="0" xfId="0" applyFill="1" applyBorder="1">
      <alignment vertical="center"/>
    </xf>
    <xf numFmtId="0" fontId="22" fillId="0" borderId="17" xfId="0" applyBorder="1" applyAlignment="1">
      <alignment horizontal="center" vertical="center"/>
    </xf>
    <xf numFmtId="0" fontId="22" fillId="0" borderId="18" xfId="0" applyBorder="1" applyAlignment="1">
      <alignment horizontal="center" vertical="center"/>
    </xf>
    <xf numFmtId="43" fontId="22" fillId="0" borderId="19" xfId="0" applyBorder="1" applyAlignment="1">
      <alignment horizontal="center" vertical="center"/>
    </xf>
    <xf numFmtId="43" fontId="21" fillId="0" borderId="20" xfId="0" applyNumberFormat="1" applyBorder="1">
      <alignment vertical="center"/>
    </xf>
    <xf numFmtId="43" fontId="21" fillId="0" borderId="21" xfId="0" applyBorder="1">
      <alignment vertical="center"/>
    </xf>
    <xf numFmtId="43" fontId="21" fillId="0" borderId="22" xfId="0" applyNumberFormat="1" applyBorder="1">
      <alignment vertical="center"/>
    </xf>
    <xf numFmtId="43" fontId="21" fillId="0" borderId="23" xfId="0" applyBorder="1">
      <alignment vertical="center"/>
    </xf>
    <xf numFmtId="0" fontId="23" fillId="0" borderId="24" xfId="0" applyBorder="1">
      <alignment vertical="center"/>
    </xf>
    <xf numFmtId="0" fontId="21" fillId="0" borderId="25" xfId="0" applyBorder="1" applyAlignment="1">
      <alignment horizontal="center" vertical="center"/>
    </xf>
    <xf numFmtId="43" fontId="23" fillId="0" borderId="26" xfId="0" applyNumberFormat="1" applyBorder="1">
      <alignment vertical="center"/>
    </xf>
    <xf numFmtId="0" fontId="36" fillId="0" borderId="0" xfId="0" applyBorder="1" applyAlignment="1">
      <alignment vertical="center"/>
    </xf>
    <xf numFmtId="0" fontId="37" fillId="0" borderId="0" xfId="0" applyBorder="1" applyAlignment="1">
      <alignment horizontal="center" vertical="center"/>
    </xf>
    <xf numFmtId="0" fontId="21" fillId="0" borderId="21" xfId="0" applyBorder="1">
      <alignment vertical="center"/>
    </xf>
    <xf numFmtId="0" fontId="21" fillId="0" borderId="27" xfId="0" applyFill="1" applyBorder="1" applyAlignment="1">
      <alignment vertical="center" wrapText="1"/>
    </xf>
    <xf numFmtId="0" fontId="36" fillId="0" borderId="27" xfId="0" applyFill="1" applyBorder="1" applyAlignment="1">
      <alignment vertical="center" wrapText="1"/>
    </xf>
    <xf numFmtId="0" fontId="21" fillId="0" borderId="28" xfId="0" applyBorder="1" applyAlignment="1">
      <alignment vertical="center" wrapText="1"/>
    </xf>
    <xf numFmtId="0" fontId="21" fillId="0" borderId="28" xfId="0" applyBorder="1">
      <alignment vertical="center"/>
    </xf>
    <xf numFmtId="0" fontId="21" fillId="0" borderId="29" xfId="0" applyFill="1" applyBorder="1" applyAlignment="1">
      <alignment horizontal="center" vertical="center" wrapText="1"/>
    </xf>
    <xf numFmtId="0" fontId="37" fillId="0" borderId="29" xfId="0" applyFill="1" applyBorder="1" applyAlignment="1">
      <alignment horizontal="center" vertical="center" wrapText="1"/>
    </xf>
    <xf numFmtId="0" fontId="21" fillId="0" borderId="16" xfId="0" applyBorder="1" applyAlignment="1">
      <alignment horizontal="center" vertical="center"/>
    </xf>
    <xf numFmtId="0" fontId="21" fillId="0" borderId="30" xfId="0" applyBorder="1">
      <alignment vertical="center"/>
    </xf>
    <xf numFmtId="0" fontId="21" fillId="0" borderId="10" xfId="0" applyBorder="1" applyAlignment="1">
      <alignment horizontal="center" vertical="center"/>
    </xf>
    <xf numFmtId="0" fontId="21" fillId="0" borderId="16" xfId="0" applyFill="1" applyBorder="1">
      <alignment vertical="center"/>
    </xf>
    <xf numFmtId="0" fontId="21" fillId="0" borderId="29" xfId="0" applyFill="1" applyBorder="1" applyAlignment="1">
      <alignment vertical="center" wrapText="1"/>
    </xf>
    <xf numFmtId="0" fontId="36" fillId="0" borderId="29" xfId="0" applyFill="1" applyBorder="1" applyAlignment="1">
      <alignment vertical="center" wrapText="1"/>
    </xf>
    <xf numFmtId="0" fontId="38" fillId="0" borderId="29" xfId="0" applyFill="1" applyBorder="1" applyAlignment="1">
      <alignment vertical="center" wrapText="1"/>
    </xf>
    <xf numFmtId="0" fontId="39" fillId="0" borderId="29" xfId="0" applyFill="1" applyBorder="1" applyAlignment="1">
      <alignment vertical="center" wrapText="1"/>
    </xf>
    <xf numFmtId="0" fontId="40" fillId="0" borderId="29" xfId="0" applyFill="1" applyBorder="1" applyAlignment="1">
      <alignment horizontal="center" vertical="center" wrapText="1"/>
    </xf>
    <xf numFmtId="0" fontId="41" fillId="0" borderId="29" xfId="0" applyFill="1" applyBorder="1" applyAlignment="1">
      <alignment vertical="center" wrapText="1"/>
    </xf>
    <xf numFmtId="0" fontId="21" fillId="0" borderId="10" xfId="0" applyFill="1" applyBorder="1">
      <alignment vertical="center"/>
    </xf>
    <xf numFmtId="0" fontId="42" fillId="0" borderId="29" xfId="0" applyFill="1" applyBorder="1" applyAlignment="1">
      <alignment vertical="center" wrapText="1"/>
    </xf>
    <xf numFmtId="0" fontId="43" fillId="0" borderId="29" xfId="0" applyFill="1" applyBorder="1" applyAlignment="1">
      <alignment vertical="center" wrapText="1"/>
    </xf>
    <xf numFmtId="0" fontId="41" fillId="38" borderId="29" xfId="0" applyFill="1" applyBorder="1" applyAlignment="1">
      <alignment vertical="center" wrapText="1"/>
    </xf>
    <xf numFmtId="0" fontId="24" fillId="0" borderId="29" xfId="0" applyFill="1" applyBorder="1" applyAlignment="1">
      <alignment vertical="center" wrapText="1"/>
    </xf>
    <xf numFmtId="0" fontId="43" fillId="38" borderId="29" xfId="0" applyFill="1" applyBorder="1" applyAlignment="1">
      <alignment vertical="center" wrapText="1"/>
    </xf>
    <xf numFmtId="0" fontId="44" fillId="0" borderId="29" xfId="0" applyFill="1" applyBorder="1" applyAlignment="1">
      <alignment vertical="center" wrapText="1"/>
    </xf>
    <xf numFmtId="0" fontId="45" fillId="0" borderId="29" xfId="0" applyFill="1" applyBorder="1" applyAlignment="1">
      <alignment vertical="center" wrapText="1"/>
    </xf>
    <xf numFmtId="0" fontId="46" fillId="0" borderId="29" xfId="0" applyFill="1" applyBorder="1" applyAlignment="1">
      <alignment vertical="center" wrapText="1"/>
    </xf>
    <xf numFmtId="0" fontId="46" fillId="38" borderId="29" xfId="0" applyFill="1" applyBorder="1" applyAlignment="1">
      <alignment vertical="center" wrapText="1"/>
    </xf>
    <xf numFmtId="0" fontId="45" fillId="0" borderId="0" xfId="0" applyFill="1" applyBorder="1" applyAlignment="1">
      <alignment vertical="center" wrapText="1"/>
    </xf>
    <xf numFmtId="0" fontId="45" fillId="0" borderId="31" xfId="0" applyFill="1" applyBorder="1" applyAlignment="1">
      <alignment vertical="center" wrapText="1"/>
    </xf>
    <xf numFmtId="0" fontId="22" fillId="0" borderId="16" xfId="0" applyBorder="1" applyAlignment="1">
      <alignment horizontal="center" vertical="center"/>
    </xf>
    <xf numFmtId="0" fontId="46" fillId="0" borderId="0" xfId="0" applyFill="1" applyBorder="1" applyAlignment="1">
      <alignment vertical="center" wrapText="1"/>
    </xf>
    <xf numFmtId="0" fontId="46" fillId="38" borderId="0" xfId="0" applyFill="1" applyBorder="1" applyAlignment="1">
      <alignment vertical="center" wrapText="1"/>
    </xf>
    <xf numFmtId="0" fontId="46" fillId="0" borderId="31" xfId="0" applyFill="1" applyBorder="1" applyAlignment="1">
      <alignment vertical="center" wrapText="1"/>
    </xf>
    <xf numFmtId="0" fontId="36" fillId="0" borderId="0" xfId="0" applyFill="1" applyBorder="1" applyAlignment="1">
      <alignment vertical="center" wrapText="1"/>
    </xf>
    <xf numFmtId="0" fontId="37" fillId="0" borderId="0" xfId="0" applyFill="1" applyBorder="1" applyAlignment="1">
      <alignment horizontal="center" vertical="center" wrapText="1"/>
    </xf>
    <xf numFmtId="0" fontId="38" fillId="0" borderId="0" xfId="0" applyFill="1" applyBorder="1" applyAlignment="1">
      <alignment vertical="center" wrapText="1"/>
    </xf>
    <xf numFmtId="0" fontId="39" fillId="0" borderId="0" xfId="0" applyFill="1" applyBorder="1" applyAlignment="1">
      <alignment vertical="center" wrapText="1"/>
    </xf>
    <xf numFmtId="0" fontId="40" fillId="0" borderId="0" xfId="0" applyFill="1" applyBorder="1" applyAlignment="1">
      <alignment horizontal="center" vertical="center" wrapText="1"/>
    </xf>
    <xf numFmtId="0" fontId="41" fillId="0" borderId="0" xfId="0" applyFill="1" applyBorder="1" applyAlignment="1">
      <alignment vertical="center" wrapText="1"/>
    </xf>
    <xf numFmtId="0" fontId="42" fillId="0" borderId="0" xfId="0" applyFill="1" applyBorder="1" applyAlignment="1">
      <alignment vertical="center" wrapText="1"/>
    </xf>
    <xf numFmtId="0" fontId="37" fillId="0" borderId="32" xfId="0" applyFill="1" applyBorder="1" applyAlignment="1">
      <alignment horizontal="center" vertical="center" wrapText="1"/>
    </xf>
    <xf numFmtId="0" fontId="39" fillId="0" borderId="0" xfId="0" applyBorder="1" applyAlignment="1">
      <alignment vertical="center"/>
    </xf>
    <xf numFmtId="0" fontId="39" fillId="0" borderId="27" xfId="0" applyFill="1" applyBorder="1" applyAlignment="1">
      <alignment vertical="center" wrapText="1"/>
    </xf>
    <xf numFmtId="0" fontId="21" fillId="0" borderId="0" xfId="0" applyBorder="1" applyAlignment="1">
      <alignment vertical="center"/>
    </xf>
    <xf numFmtId="0" fontId="47" fillId="0" borderId="0" xfId="0" applyFill="1" applyBorder="1" applyAlignment="1">
      <alignment vertical="center" wrapText="1"/>
    </xf>
    <xf numFmtId="0" fontId="48" fillId="0" borderId="0" xfId="0" applyFill="1" applyBorder="1" applyAlignment="1">
      <alignment vertical="center" wrapText="1"/>
    </xf>
    <xf numFmtId="0" fontId="49" fillId="0" borderId="0" xfId="0" applyFill="1" applyBorder="1" applyAlignment="1">
      <alignment vertical="center" wrapText="1"/>
    </xf>
    <xf numFmtId="0" fontId="50" fillId="0" borderId="0" xfId="0" applyBorder="1" applyAlignment="1">
      <alignment horizontal="center" vertical="center"/>
    </xf>
    <xf numFmtId="0" fontId="24" fillId="0" borderId="0" xfId="0" applyBorder="1" applyAlignment="1">
      <alignment horizontal="center" vertical="center"/>
    </xf>
    <xf numFmtId="0" fontId="50" fillId="0" borderId="0" xfId="0" applyFill="1" applyBorder="1" applyAlignment="1">
      <alignment horizontal="center" vertical="center" wrapText="1"/>
    </xf>
    <xf numFmtId="0" fontId="50" fillId="0" borderId="32" xfId="0" applyFill="1" applyBorder="1" applyAlignment="1">
      <alignment horizontal="center" vertical="center" wrapText="1"/>
    </xf>
    <xf numFmtId="0" fontId="45" fillId="0" borderId="0" xfId="0" applyBorder="1" applyAlignment="1">
      <alignment horizontal="center" vertical="center"/>
    </xf>
    <xf numFmtId="0" fontId="45" fillId="0" borderId="0" xfId="0" applyFill="1" applyBorder="1" applyAlignment="1">
      <alignment horizontal="center" vertical="center" wrapText="1"/>
    </xf>
    <xf numFmtId="0" fontId="45" fillId="0" borderId="32" xfId="0" applyFill="1" applyBorder="1" applyAlignment="1">
      <alignment horizontal="center" vertical="center" wrapText="1"/>
    </xf>
    <xf numFmtId="0" fontId="24" fillId="0" borderId="0" xfId="0" applyFill="1" applyBorder="1" applyAlignment="1">
      <alignment horizontal="center" vertical="center" wrapText="1"/>
    </xf>
    <xf numFmtId="0" fontId="24" fillId="0" borderId="0" xfId="0" applyFill="1" applyBorder="1" applyAlignment="1">
      <alignment vertical="center" wrapText="1"/>
    </xf>
    <xf numFmtId="0" fontId="24" fillId="0" borderId="17" xfId="0" applyBorder="1" applyAlignment="1">
      <alignment horizontal="right" vertical="center"/>
    </xf>
    <xf numFmtId="0" fontId="24" fillId="0" borderId="18" xfId="0" applyBorder="1">
      <alignment vertical="center"/>
    </xf>
    <xf numFmtId="0" fontId="24" fillId="0" borderId="18" xfId="0" applyBorder="1" applyAlignment="1">
      <alignment horizontal="center" vertical="center"/>
    </xf>
    <xf numFmtId="43" fontId="24" fillId="0" borderId="19" xfId="0" applyBorder="1">
      <alignment vertical="center"/>
    </xf>
    <xf numFmtId="0" fontId="24" fillId="0" borderId="20" xfId="0" applyBorder="1" applyAlignment="1">
      <alignment horizontal="right" vertical="center"/>
    </xf>
    <xf numFmtId="43" fontId="24" fillId="0" borderId="21" xfId="0" applyBorder="1">
      <alignment vertical="center"/>
    </xf>
    <xf numFmtId="0" fontId="24" fillId="0" borderId="24" xfId="0" applyBorder="1" applyAlignment="1">
      <alignment horizontal="right" vertical="center"/>
    </xf>
    <xf numFmtId="0" fontId="24" fillId="0" borderId="25" xfId="0" applyBorder="1">
      <alignment vertical="center"/>
    </xf>
    <xf numFmtId="0" fontId="24" fillId="0" borderId="25" xfId="0" applyBorder="1" applyAlignment="1">
      <alignment horizontal="center" vertical="center"/>
    </xf>
    <xf numFmtId="43" fontId="24" fillId="0" borderId="26" xfId="0" applyBorder="1">
      <alignment vertical="center"/>
    </xf>
    <xf numFmtId="0" fontId="22" fillId="0" borderId="33" xfId="0" applyBorder="1" applyAlignment="1">
      <alignment horizontal="center" vertical="center"/>
    </xf>
    <xf numFmtId="43" fontId="21" fillId="0" borderId="20" xfId="0" applyNumberFormat="1" applyFill="1" applyBorder="1">
      <alignment vertical="center"/>
    </xf>
    <xf numFmtId="43" fontId="21" fillId="0" borderId="22" xfId="0" applyNumberFormat="1" applyFill="1" applyBorder="1">
      <alignment vertical="center"/>
    </xf>
    <xf numFmtId="43" fontId="26" fillId="0" borderId="23" xfId="0" applyBorder="1">
      <alignment vertical="center"/>
    </xf>
    <xf numFmtId="0" fontId="23" fillId="0" borderId="20" xfId="0" applyBorder="1">
      <alignment vertical="center"/>
    </xf>
    <xf numFmtId="43" fontId="21" fillId="0" borderId="21" xfId="0" applyNumberFormat="1" applyBorder="1">
      <alignment vertical="center"/>
    </xf>
    <xf numFmtId="0" fontId="24" fillId="0" borderId="22" xfId="0" applyBorder="1">
      <alignment vertical="center"/>
    </xf>
    <xf numFmtId="43" fontId="24" fillId="0" borderId="23" xfId="0" applyBorder="1">
      <alignment vertical="center"/>
    </xf>
    <xf numFmtId="0" fontId="46" fillId="0" borderId="34" xfId="0" applyFill="1" applyBorder="1" applyAlignment="1">
      <alignment vertical="center" wrapText="1"/>
    </xf>
    <xf numFmtId="0" fontId="22" fillId="0" borderId="35" xfId="0" applyBorder="1" applyAlignment="1">
      <alignment horizontal="center" vertical="center"/>
    </xf>
    <xf numFmtId="0" fontId="45" fillId="0" borderId="11" xfId="0" applyFill="1" applyBorder="1" applyAlignment="1">
      <alignment horizontal="center" vertical="center" wrapText="1"/>
    </xf>
    <xf numFmtId="0" fontId="46" fillId="0" borderId="11" xfId="0" applyFill="1" applyBorder="1" applyAlignment="1">
      <alignment vertical="center" wrapText="1"/>
    </xf>
    <xf numFmtId="0" fontId="45" fillId="0" borderId="11" xfId="0" applyFill="1" applyBorder="1" applyAlignment="1">
      <alignment vertical="center" wrapText="1"/>
    </xf>
    <xf numFmtId="0" fontId="45" fillId="0" borderId="0" xfId="0" applyBorder="1" applyAlignment="1">
      <alignment horizontal="right" vertical="center"/>
    </xf>
    <xf numFmtId="0" fontId="51" fillId="0" borderId="0" xfId="0" applyBorder="1" applyAlignment="1">
      <alignment horizontal="right" vertical="center"/>
    </xf>
    <xf numFmtId="0" fontId="51" fillId="0" borderId="11" xfId="0" applyBorder="1" applyAlignment="1">
      <alignment horizontal="right" vertical="center"/>
    </xf>
    <xf numFmtId="0" fontId="45" fillId="0" borderId="11" xfId="0" applyBorder="1" applyAlignment="1">
      <alignment horizontal="right" vertical="center"/>
    </xf>
    <xf numFmtId="0" fontId="46" fillId="37" borderId="0" xfId="0" applyFill="1" applyBorder="1" applyAlignment="1">
      <alignment vertical="center" wrapText="1"/>
    </xf>
    <xf numFmtId="43" fontId="21" fillId="37" borderId="20" xfId="0" applyNumberFormat="1" applyFill="1" applyBorder="1">
      <alignment vertical="center"/>
    </xf>
    <xf numFmtId="0" fontId="21" fillId="37" borderId="0" xfId="0" applyFill="1" applyBorder="1" applyAlignment="1">
      <alignment horizontal="center" vertical="center"/>
    </xf>
    <xf numFmtId="0" fontId="45" fillId="37" borderId="0" xfId="0" applyFill="1" applyBorder="1" applyAlignment="1">
      <alignment horizontal="center" vertical="center" wrapText="1"/>
    </xf>
    <xf numFmtId="43" fontId="21" fillId="37" borderId="21" xfId="0" applyFill="1" applyBorder="1">
      <alignment vertical="center"/>
    </xf>
    <xf numFmtId="0" fontId="21" fillId="37" borderId="0" xfId="0" applyFill="1" applyBorder="1" applyAlignment="1">
      <alignment vertical="center" wrapText="1"/>
    </xf>
    <xf numFmtId="43" fontId="21" fillId="0" borderId="21" xfId="0" applyFill="1" applyBorder="1">
      <alignment vertical="center"/>
    </xf>
    <xf numFmtId="0" fontId="21" fillId="0" borderId="28" xfId="0" applyBorder="1" applyAlignment="1">
      <alignment vertical="center"/>
    </xf>
    <xf numFmtId="0" fontId="32" fillId="0" borderId="27" xfId="0" applyFill="1" applyBorder="1" applyAlignment="1">
      <alignment vertical="center" wrapText="1"/>
    </xf>
    <xf numFmtId="0" fontId="32" fillId="38" borderId="27" xfId="0" applyFill="1" applyBorder="1" applyAlignment="1">
      <alignment vertical="center" wrapText="1"/>
    </xf>
    <xf numFmtId="0" fontId="21" fillId="0" borderId="28" xfId="0" applyFill="1" applyBorder="1" applyAlignment="1">
      <alignment vertical="center" wrapText="1"/>
    </xf>
    <xf numFmtId="0" fontId="56" fillId="0" borderId="27" xfId="0" applyFill="1" applyBorder="1" applyAlignment="1">
      <alignment vertical="center" wrapText="1"/>
    </xf>
    <xf numFmtId="0" fontId="21" fillId="0" borderId="30" xfId="0" applyFill="1" applyBorder="1" applyAlignment="1">
      <alignment vertical="center" wrapText="1"/>
    </xf>
    <xf numFmtId="0" fontId="45" fillId="0" borderId="16" xfId="0" applyBorder="1" applyAlignment="1">
      <alignment horizontal="center" vertical="center"/>
    </xf>
    <xf numFmtId="0" fontId="45" fillId="0" borderId="29" xfId="0" applyFill="1" applyBorder="1" applyAlignment="1">
      <alignment horizontal="center" vertical="center" wrapText="1"/>
    </xf>
    <xf numFmtId="0" fontId="32" fillId="0" borderId="29" xfId="0" applyFill="1" applyBorder="1" applyAlignment="1">
      <alignment horizontal="center" vertical="center" wrapText="1"/>
    </xf>
    <xf numFmtId="0" fontId="45" fillId="0" borderId="16" xfId="0" applyFill="1" applyBorder="1" applyAlignment="1">
      <alignment horizontal="center" vertical="center" wrapText="1"/>
    </xf>
    <xf numFmtId="0" fontId="57" fillId="0" borderId="29" xfId="0" applyFill="1" applyBorder="1" applyAlignment="1">
      <alignment horizontal="center" vertical="center" wrapText="1"/>
    </xf>
    <xf numFmtId="0" fontId="45" fillId="0" borderId="10" xfId="0" applyFill="1" applyBorder="1" applyAlignment="1">
      <alignment horizontal="center" vertical="center" wrapText="1"/>
    </xf>
    <xf numFmtId="0" fontId="49" fillId="0" borderId="28" xfId="0" applyFill="1" applyBorder="1" applyAlignment="1">
      <alignment vertical="center" wrapText="1"/>
    </xf>
    <xf numFmtId="0" fontId="49" fillId="0" borderId="27" xfId="0" applyFill="1" applyBorder="1" applyAlignment="1">
      <alignment vertical="center" wrapText="1"/>
    </xf>
    <xf numFmtId="0" fontId="58" fillId="38" borderId="27" xfId="0" applyFill="1" applyBorder="1" applyAlignment="1">
      <alignment vertical="center" wrapText="1"/>
    </xf>
    <xf numFmtId="0" fontId="59" fillId="38" borderId="27" xfId="0" applyFill="1" applyBorder="1" applyAlignment="1">
      <alignment vertical="center" wrapText="1"/>
    </xf>
    <xf numFmtId="0" fontId="60" fillId="0" borderId="27" xfId="0" applyFill="1" applyBorder="1" applyAlignment="1">
      <alignment vertical="center" wrapText="1"/>
    </xf>
    <xf numFmtId="0" fontId="14" fillId="38" borderId="27" xfId="0" applyFill="1" applyBorder="1" applyAlignment="1">
      <alignment vertical="center" wrapText="1"/>
    </xf>
    <xf numFmtId="0" fontId="61" fillId="0" borderId="27" xfId="0" applyFill="1" applyBorder="1" applyAlignment="1">
      <alignment vertical="center" wrapText="1"/>
    </xf>
    <xf numFmtId="0" fontId="61" fillId="0" borderId="27" xfId="0" applyFill="1" applyBorder="1" applyAlignment="1">
      <alignment horizontal="justify" vertical="center" wrapText="1"/>
    </xf>
    <xf numFmtId="0" fontId="42" fillId="0" borderId="27" xfId="0" applyFill="1" applyBorder="1" applyAlignment="1">
      <alignment vertical="center" wrapText="1"/>
    </xf>
    <xf numFmtId="0" fontId="46" fillId="0" borderId="28" xfId="0" applyFill="1" applyBorder="1" applyAlignment="1">
      <alignment vertical="center" wrapText="1"/>
    </xf>
    <xf numFmtId="0" fontId="46" fillId="0" borderId="27" xfId="0" applyFill="1" applyBorder="1" applyAlignment="1">
      <alignment vertical="center" wrapText="1"/>
    </xf>
    <xf numFmtId="0" fontId="41" fillId="0" borderId="27" xfId="0" applyFill="1" applyBorder="1" applyAlignment="1">
      <alignment vertical="center" wrapText="1"/>
    </xf>
    <xf numFmtId="0" fontId="62" fillId="39" borderId="27" xfId="0" applyFill="1" applyBorder="1" applyAlignment="1">
      <alignment vertical="center" wrapText="1"/>
    </xf>
    <xf numFmtId="0" fontId="41" fillId="0" borderId="36" xfId="0" applyFill="1" applyBorder="1" applyAlignment="1">
      <alignment vertical="center" wrapText="1"/>
    </xf>
    <xf numFmtId="0" fontId="46" fillId="0" borderId="30" xfId="0" applyFill="1" applyBorder="1" applyAlignment="1">
      <alignment vertical="center" wrapText="1"/>
    </xf>
    <xf numFmtId="0" fontId="24" fillId="0" borderId="28" xfId="0" applyBorder="1">
      <alignment vertical="center"/>
    </xf>
    <xf numFmtId="0" fontId="24" fillId="0" borderId="27" xfId="0" applyFill="1" applyBorder="1" applyAlignment="1">
      <alignment vertical="center" wrapText="1"/>
    </xf>
    <xf numFmtId="0" fontId="57" fillId="0" borderId="0" xfId="0" applyFill="1" applyBorder="1" applyAlignment="1">
      <alignment horizontal="center" vertical="center"/>
    </xf>
    <xf numFmtId="0" fontId="46" fillId="0" borderId="21" xfId="0" applyFill="1" applyBorder="1" applyAlignment="1">
      <alignment vertical="center" wrapText="1"/>
    </xf>
    <xf numFmtId="0" fontId="0" fillId="0" borderId="29" xfId="0" applyFill="1" applyBorder="1" applyAlignment="1">
      <alignment horizontal="center" vertical="center" wrapText="1"/>
    </xf>
    <xf numFmtId="0" fontId="46" fillId="0" borderId="37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41" fillId="0" borderId="28" xfId="0" applyFill="1" applyBorder="1" applyAlignment="1">
      <alignment vertical="center" wrapText="1"/>
    </xf>
    <xf numFmtId="0" fontId="0" fillId="0" borderId="16" xfId="0" applyFill="1" applyBorder="1" applyAlignment="1">
      <alignment horizontal="center" vertical="center" wrapText="1"/>
    </xf>
    <xf numFmtId="0" fontId="63" fillId="0" borderId="27" xfId="0" applyFill="1" applyBorder="1" applyAlignment="1">
      <alignment vertical="center" wrapText="1"/>
    </xf>
    <xf numFmtId="0" fontId="63" fillId="38" borderId="27" xfId="0" applyFill="1" applyBorder="1" applyAlignment="1">
      <alignment vertical="center" wrapText="1"/>
    </xf>
    <xf numFmtId="0" fontId="64" fillId="0" borderId="27" xfId="0" applyFill="1" applyBorder="1" applyAlignment="1">
      <alignment vertical="center" wrapText="1"/>
    </xf>
    <xf numFmtId="0" fontId="65" fillId="0" borderId="27" xfId="0" applyFill="1" applyBorder="1" applyAlignment="1">
      <alignment vertical="center" wrapText="1"/>
    </xf>
    <xf numFmtId="0" fontId="65" fillId="38" borderId="27" xfId="0" applyFill="1" applyBorder="1" applyAlignment="1">
      <alignment vertical="center" wrapText="1"/>
    </xf>
    <xf numFmtId="0" fontId="31" fillId="0" borderId="27" xfId="0" applyFill="1" applyBorder="1" applyAlignment="1">
      <alignment vertical="center" wrapText="1"/>
    </xf>
    <xf numFmtId="0" fontId="66" fillId="38" borderId="27" xfId="0" applyFill="1" applyBorder="1" applyAlignment="1">
      <alignment vertical="center" wrapText="1"/>
    </xf>
    <xf numFmtId="0" fontId="31" fillId="38" borderId="27" xfId="0" applyFill="1" applyBorder="1" applyAlignment="1">
      <alignment vertical="center" wrapText="1"/>
    </xf>
    <xf numFmtId="0" fontId="67" fillId="38" borderId="27" xfId="0" applyFill="1" applyBorder="1" applyAlignment="1">
      <alignment vertical="center" wrapText="1"/>
    </xf>
    <xf numFmtId="0" fontId="68" fillId="0" borderId="27" xfId="0" applyFill="1" applyBorder="1" applyAlignment="1">
      <alignment vertical="center" wrapText="1"/>
    </xf>
    <xf numFmtId="0" fontId="69" fillId="39" borderId="27" xfId="0" applyFill="1" applyBorder="1" applyAlignment="1">
      <alignment vertical="center" wrapText="1"/>
    </xf>
    <xf numFmtId="0" fontId="70" fillId="0" borderId="0" xfId="0" applyFill="1" applyBorder="1" applyAlignment="1">
      <alignment vertical="center" wrapText="1"/>
    </xf>
    <xf numFmtId="0" fontId="71" fillId="0" borderId="27" xfId="0" applyFill="1" applyBorder="1" applyAlignment="1">
      <alignment vertical="center" wrapText="1"/>
    </xf>
    <xf numFmtId="0" fontId="0" fillId="38" borderId="27" xfId="0" applyFill="1" applyBorder="1" applyAlignment="1">
      <alignment vertical="center" wrapText="1"/>
    </xf>
    <xf numFmtId="0" fontId="42" fillId="0" borderId="27" xfId="0" applyFill="1" applyBorder="1" applyAlignment="1">
      <alignment horizontal="justify" vertical="center" wrapText="1"/>
    </xf>
    <xf numFmtId="0" fontId="29" fillId="0" borderId="27" xfId="0" applyFill="1" applyBorder="1" applyAlignment="1">
      <alignment vertical="center" wrapText="1"/>
    </xf>
    <xf numFmtId="0" fontId="72" fillId="38" borderId="27" xfId="0" applyFill="1" applyBorder="1" applyAlignment="1">
      <alignment vertical="center" wrapText="1"/>
    </xf>
    <xf numFmtId="0" fontId="29" fillId="38" borderId="27" xfId="0" applyFill="1" applyBorder="1" applyAlignment="1">
      <alignment vertical="center" wrapText="1"/>
    </xf>
    <xf numFmtId="0" fontId="73" fillId="38" borderId="27" xfId="0" applyFill="1" applyBorder="1" applyAlignment="1">
      <alignment vertical="center" wrapText="1"/>
    </xf>
    <xf numFmtId="0" fontId="74" fillId="0" borderId="27" xfId="0" applyFill="1" applyBorder="1" applyAlignment="1">
      <alignment vertical="center" wrapText="1"/>
    </xf>
    <xf numFmtId="0" fontId="24" fillId="38" borderId="27" xfId="0" applyFill="1" applyBorder="1" applyAlignment="1">
      <alignment vertical="center" wrapText="1"/>
    </xf>
    <xf numFmtId="0" fontId="24" fillId="0" borderId="27" xfId="0" applyFill="1" applyBorder="1" applyAlignment="1">
      <alignment horizontal="justify" vertical="center" wrapText="1"/>
    </xf>
    <xf numFmtId="0" fontId="43" fillId="0" borderId="27" xfId="0" applyFill="1" applyBorder="1" applyAlignment="1">
      <alignment vertical="center" wrapText="1"/>
    </xf>
    <xf numFmtId="0" fontId="75" fillId="39" borderId="27" xfId="0" applyFill="1" applyBorder="1" applyAlignment="1">
      <alignment vertical="center" wrapText="1"/>
    </xf>
    <xf numFmtId="0" fontId="43" fillId="0" borderId="0" xfId="0" applyFill="1" applyBorder="1" applyAlignment="1">
      <alignment vertical="center" wrapText="1"/>
    </xf>
    <xf numFmtId="0" fontId="76" fillId="38" borderId="27" xfId="0" applyFill="1" applyBorder="1" applyAlignment="1">
      <alignment vertical="center" wrapText="1"/>
    </xf>
    <xf numFmtId="0" fontId="77" fillId="0" borderId="27" xfId="0" applyFill="1" applyBorder="1" applyAlignment="1">
      <alignment vertical="center" wrapText="1"/>
    </xf>
    <xf numFmtId="0" fontId="78" fillId="38" borderId="27" xfId="0" applyFill="1" applyBorder="1" applyAlignment="1">
      <alignment vertical="center" wrapText="1"/>
    </xf>
    <xf numFmtId="0" fontId="78" fillId="0" borderId="27" xfId="0" applyFill="1" applyBorder="1" applyAlignment="1">
      <alignment vertical="center" wrapText="1"/>
    </xf>
    <xf numFmtId="0" fontId="78" fillId="0" borderId="27" xfId="0" applyFill="1" applyBorder="1" applyAlignment="1">
      <alignment horizontal="justify" vertical="center" wrapText="1"/>
    </xf>
    <xf numFmtId="0" fontId="79" fillId="0" borderId="27" xfId="0" applyFill="1" applyBorder="1" applyAlignment="1">
      <alignment vertical="center" wrapText="1"/>
    </xf>
    <xf numFmtId="0" fontId="80" fillId="39" borderId="27" xfId="0" applyFill="1" applyBorder="1" applyAlignment="1">
      <alignment vertical="center" wrapText="1"/>
    </xf>
    <xf numFmtId="0" fontId="79" fillId="0" borderId="0" xfId="0" applyFill="1" applyBorder="1" applyAlignment="1">
      <alignment vertical="center" wrapText="1"/>
    </xf>
    <xf numFmtId="0" fontId="81" fillId="0" borderId="27" xfId="0" applyFill="1" applyBorder="1" applyAlignment="1">
      <alignment vertical="center" wrapText="1"/>
    </xf>
    <xf numFmtId="0" fontId="82" fillId="0" borderId="27" xfId="0" applyFill="1" applyBorder="1" applyAlignment="1">
      <alignment vertical="center" wrapText="1"/>
    </xf>
    <xf numFmtId="0" fontId="29" fillId="0" borderId="29" xfId="0" applyFill="1" applyBorder="1" applyAlignment="1">
      <alignment horizontal="center" vertical="center" wrapText="1"/>
    </xf>
    <xf numFmtId="0" fontId="50" fillId="0" borderId="29" xfId="0" applyFill="1" applyBorder="1" applyAlignment="1">
      <alignment horizontal="center" vertical="center" wrapText="1"/>
    </xf>
    <xf numFmtId="0" fontId="33" fillId="0" borderId="29" xfId="0" applyFill="1" applyBorder="1" applyAlignment="1">
      <alignment horizontal="center" vertical="center" wrapText="1"/>
    </xf>
    <xf numFmtId="0" fontId="50" fillId="0" borderId="0" xfId="0" applyFill="1" applyBorder="1" applyAlignment="1">
      <alignment horizontal="center" vertical="center"/>
    </xf>
    <xf numFmtId="0" fontId="24" fillId="0" borderId="29" xfId="0" applyFill="1" applyBorder="1" applyAlignment="1">
      <alignment horizontal="center" vertical="center" wrapText="1"/>
    </xf>
    <xf numFmtId="0" fontId="45" fillId="0" borderId="0" xfId="0" applyFill="1" applyBorder="1" applyAlignment="1">
      <alignment horizontal="center" vertical="center"/>
    </xf>
    <xf numFmtId="0" fontId="83" fillId="0" borderId="29" xfId="0" applyFill="1" applyBorder="1" applyAlignment="1">
      <alignment horizontal="center" vertical="center" wrapText="1"/>
    </xf>
    <xf numFmtId="0" fontId="83" fillId="0" borderId="0" xfId="0" applyFill="1" applyBorder="1" applyAlignment="1">
      <alignment horizontal="center" vertical="center" wrapText="1"/>
    </xf>
    <xf numFmtId="0" fontId="78" fillId="0" borderId="0" xfId="0" applyFill="1" applyBorder="1" applyAlignment="1">
      <alignment vertical="center" wrapText="1"/>
    </xf>
    <xf numFmtId="0" fontId="65" fillId="0" borderId="0" xfId="0" applyFill="1" applyBorder="1" applyAlignment="1">
      <alignment vertical="center" wrapText="1"/>
    </xf>
    <xf numFmtId="0" fontId="65" fillId="38" borderId="0" xfId="0" applyFill="1" applyBorder="1" applyAlignment="1">
      <alignment vertical="center" wrapText="1"/>
    </xf>
    <xf numFmtId="0" fontId="76" fillId="38" borderId="0" xfId="0" applyFill="1" applyBorder="1" applyAlignment="1">
      <alignment vertical="center" wrapText="1"/>
    </xf>
    <xf numFmtId="0" fontId="77" fillId="0" borderId="0" xfId="0" applyFill="1" applyBorder="1" applyAlignment="1">
      <alignment vertical="center" wrapText="1"/>
    </xf>
    <xf numFmtId="0" fontId="78" fillId="38" borderId="0" xfId="0" applyFill="1" applyBorder="1" applyAlignment="1">
      <alignment vertical="center" wrapText="1"/>
    </xf>
    <xf numFmtId="0" fontId="78" fillId="0" borderId="0" xfId="0" applyFill="1" applyBorder="1" applyAlignment="1">
      <alignment horizontal="justify" vertical="center" wrapText="1"/>
    </xf>
    <xf numFmtId="0" fontId="80" fillId="39" borderId="0" xfId="0" applyFill="1" applyBorder="1" applyAlignment="1">
      <alignment vertical="center" wrapText="1"/>
    </xf>
    <xf numFmtId="0" fontId="33" fillId="0" borderId="0" xfId="0" applyFill="1" applyBorder="1" applyAlignment="1">
      <alignment horizontal="center" vertical="center" wrapText="1"/>
    </xf>
    <xf numFmtId="0" fontId="79" fillId="0" borderId="11" xfId="0" applyFill="1" applyBorder="1" applyAlignment="1">
      <alignment vertical="center" wrapText="1"/>
    </xf>
    <xf numFmtId="0" fontId="65" fillId="0" borderId="11" xfId="0" applyFill="1" applyBorder="1" applyAlignment="1">
      <alignment vertical="center" wrapText="1"/>
    </xf>
    <xf numFmtId="0" fontId="24" fillId="0" borderId="0" xfId="0" applyFill="1" applyAlignment="1">
      <alignment horizontal="right" vertical="center"/>
    </xf>
    <xf numFmtId="0" fontId="24" fillId="0" borderId="0" xfId="0" applyFill="1">
      <alignment vertical="center"/>
    </xf>
    <xf numFmtId="0" fontId="24" fillId="0" borderId="0" xfId="0" applyFill="1" applyAlignment="1">
      <alignment horizontal="center" vertical="center"/>
    </xf>
    <xf numFmtId="43" fontId="24" fillId="0" borderId="0" xfId="0" applyFill="1">
      <alignment vertical="center"/>
    </xf>
    <xf numFmtId="0" fontId="24" fillId="0" borderId="0" xfId="0" applyFill="1" applyBorder="1" applyAlignment="1">
      <alignment horizontal="right" vertical="center"/>
    </xf>
    <xf numFmtId="0" fontId="24" fillId="0" borderId="17" xfId="0" applyFill="1" applyBorder="1" applyAlignment="1">
      <alignment horizontal="right" vertical="center"/>
    </xf>
    <xf numFmtId="0" fontId="24" fillId="0" borderId="20" xfId="0" applyFill="1" applyBorder="1" applyAlignment="1">
      <alignment horizontal="right" vertical="center"/>
    </xf>
    <xf numFmtId="0" fontId="24" fillId="0" borderId="24" xfId="0" applyFill="1" applyBorder="1" applyAlignment="1">
      <alignment horizontal="right" vertical="center"/>
    </xf>
    <xf numFmtId="0" fontId="22" fillId="0" borderId="10" xfId="0" applyFill="1" applyBorder="1" applyAlignment="1">
      <alignment horizontal="center" vertical="center"/>
    </xf>
    <xf numFmtId="0" fontId="45" fillId="0" borderId="0" xfId="0" applyFill="1" applyBorder="1" applyAlignment="1">
      <alignment horizontal="right" vertical="center"/>
    </xf>
    <xf numFmtId="0" fontId="51" fillId="0" borderId="0" xfId="0" applyFill="1" applyBorder="1" applyAlignment="1">
      <alignment horizontal="right" vertical="center"/>
    </xf>
    <xf numFmtId="0" fontId="51" fillId="0" borderId="11" xfId="0" applyFill="1" applyBorder="1" applyAlignment="1">
      <alignment horizontal="right" vertical="center"/>
    </xf>
    <xf numFmtId="0" fontId="45" fillId="0" borderId="11" xfId="0" applyFill="1" applyBorder="1" applyAlignment="1">
      <alignment horizontal="right" vertical="center"/>
    </xf>
    <xf numFmtId="0" fontId="24" fillId="0" borderId="18" xfId="0" applyFill="1" applyBorder="1">
      <alignment vertical="center"/>
    </xf>
    <xf numFmtId="0" fontId="24" fillId="0" borderId="25" xfId="0" applyFill="1" applyBorder="1">
      <alignment vertical="center"/>
    </xf>
    <xf numFmtId="0" fontId="76" fillId="0" borderId="0" xfId="0" applyFill="1" applyBorder="1" applyAlignment="1">
      <alignment vertical="center" wrapText="1"/>
    </xf>
    <xf numFmtId="0" fontId="80" fillId="0" borderId="0" xfId="0" applyFill="1" applyBorder="1" applyAlignment="1">
      <alignment vertical="center" wrapText="1"/>
    </xf>
    <xf numFmtId="0" fontId="22" fillId="0" borderId="17" xfId="0" applyFill="1" applyBorder="1" applyAlignment="1">
      <alignment horizontal="center" vertical="center"/>
    </xf>
    <xf numFmtId="0" fontId="23" fillId="0" borderId="24" xfId="0" applyFill="1" applyBorder="1">
      <alignment vertical="center"/>
    </xf>
    <xf numFmtId="0" fontId="23" fillId="0" borderId="0" xfId="0" applyFill="1" applyBorder="1">
      <alignment vertical="center"/>
    </xf>
    <xf numFmtId="0" fontId="23" fillId="0" borderId="20" xfId="0" applyFill="1" applyBorder="1">
      <alignment vertical="center"/>
    </xf>
    <xf numFmtId="0" fontId="24" fillId="0" borderId="22" xfId="0" applyFill="1" applyBorder="1">
      <alignment vertical="center"/>
    </xf>
    <xf numFmtId="0" fontId="24" fillId="0" borderId="18" xfId="0" applyFill="1" applyBorder="1" applyAlignment="1">
      <alignment horizontal="center" vertical="center"/>
    </xf>
    <xf numFmtId="0" fontId="24" fillId="0" borderId="25" xfId="0" applyFill="1" applyBorder="1" applyAlignment="1">
      <alignment horizontal="center" vertical="center"/>
    </xf>
    <xf numFmtId="0" fontId="22" fillId="0" borderId="18" xfId="0" applyFill="1" applyBorder="1" applyAlignment="1">
      <alignment horizontal="center" vertical="center"/>
    </xf>
    <xf numFmtId="0" fontId="21" fillId="0" borderId="25" xfId="0" applyFill="1" applyBorder="1" applyAlignment="1">
      <alignment horizontal="center" vertical="center"/>
    </xf>
    <xf numFmtId="0" fontId="24" fillId="0" borderId="11" xfId="0" applyFill="1" applyBorder="1" applyAlignment="1">
      <alignment horizontal="center" vertical="center"/>
    </xf>
    <xf numFmtId="43" fontId="24" fillId="0" borderId="0" xfId="0" applyFill="1" applyBorder="1">
      <alignment vertical="center"/>
    </xf>
    <xf numFmtId="43" fontId="24" fillId="0" borderId="19" xfId="0" applyFill="1" applyBorder="1">
      <alignment vertical="center"/>
    </xf>
    <xf numFmtId="43" fontId="24" fillId="0" borderId="21" xfId="0" applyFill="1" applyBorder="1">
      <alignment vertical="center"/>
    </xf>
    <xf numFmtId="43" fontId="24" fillId="0" borderId="26" xfId="0" applyFill="1" applyBorder="1">
      <alignment vertical="center"/>
    </xf>
    <xf numFmtId="43" fontId="22" fillId="0" borderId="19" xfId="0" applyFill="1" applyBorder="1" applyAlignment="1">
      <alignment horizontal="center" vertical="center"/>
    </xf>
    <xf numFmtId="43" fontId="21" fillId="0" borderId="23" xfId="0" applyFill="1" applyBorder="1">
      <alignment vertical="center"/>
    </xf>
    <xf numFmtId="43" fontId="23" fillId="0" borderId="26" xfId="0" applyNumberFormat="1" applyFill="1" applyBorder="1">
      <alignment vertical="center"/>
    </xf>
    <xf numFmtId="43" fontId="23" fillId="0" borderId="0" xfId="0" applyNumberFormat="1" applyFill="1" applyBorder="1">
      <alignment vertical="center"/>
    </xf>
    <xf numFmtId="43" fontId="21" fillId="0" borderId="21" xfId="0" applyNumberFormat="1" applyFill="1" applyBorder="1">
      <alignment vertical="center"/>
    </xf>
    <xf numFmtId="43" fontId="24" fillId="0" borderId="23" xfId="0" applyFill="1" applyBorder="1">
      <alignment vertical="center"/>
    </xf>
    <xf numFmtId="0" fontId="22" fillId="0" borderId="0" xfId="0" applyFill="1" applyBorder="1" applyAlignment="1">
      <alignment horizontal="center" vertical="center"/>
    </xf>
    <xf numFmtId="0" fontId="22" fillId="0" borderId="20" xfId="0" applyFill="1" applyBorder="1" applyAlignment="1">
      <alignment horizontal="center" vertical="center"/>
    </xf>
    <xf numFmtId="43" fontId="22" fillId="0" borderId="21" xfId="0" applyFill="1" applyBorder="1" applyAlignment="1">
      <alignment horizontal="center" vertical="center"/>
    </xf>
    <xf numFmtId="0" fontId="78" fillId="37" borderId="0" xfId="0" applyFill="1" applyBorder="1" applyAlignment="1">
      <alignment vertical="center" wrapText="1"/>
    </xf>
    <xf numFmtId="0" fontId="79" fillId="37" borderId="0" xfId="0" applyFill="1" applyBorder="1" applyAlignment="1">
      <alignment vertical="center" wrapText="1"/>
    </xf>
    <xf numFmtId="0" fontId="79" fillId="37" borderId="11" xfId="0" applyFill="1" applyBorder="1" applyAlignment="1">
      <alignment vertical="center" wrapText="1"/>
    </xf>
    <xf numFmtId="43" fontId="21" fillId="37" borderId="22" xfId="0" applyNumberFormat="1" applyFill="1" applyBorder="1">
      <alignment vertical="center"/>
    </xf>
    <xf numFmtId="0" fontId="21" fillId="37" borderId="11" xfId="0" applyFill="1" applyBorder="1" applyAlignment="1">
      <alignment horizontal="center" vertical="center"/>
    </xf>
    <xf numFmtId="0" fontId="45" fillId="37" borderId="11" xfId="0" applyFill="1" applyBorder="1" applyAlignment="1">
      <alignment horizontal="center" vertical="center" wrapText="1"/>
    </xf>
    <xf numFmtId="43" fontId="21" fillId="37" borderId="23" xfId="0" applyFill="1" applyBorder="1">
      <alignment vertical="center"/>
    </xf>
    <xf numFmtId="0" fontId="65" fillId="37" borderId="0" xfId="0" applyFill="1" applyBorder="1" applyAlignment="1">
      <alignment vertical="center" wrapText="1"/>
    </xf>
    <xf numFmtId="0" fontId="79" fillId="40" borderId="0" xfId="0" applyFill="1" applyBorder="1" applyAlignment="1">
      <alignment vertical="center" wrapText="1"/>
    </xf>
    <xf numFmtId="43" fontId="21" fillId="40" borderId="20" xfId="0" applyNumberFormat="1" applyFill="1" applyBorder="1">
      <alignment vertical="center"/>
    </xf>
    <xf numFmtId="0" fontId="21" fillId="40" borderId="0" xfId="0" applyFill="1" applyBorder="1" applyAlignment="1">
      <alignment horizontal="center" vertical="center"/>
    </xf>
    <xf numFmtId="0" fontId="45" fillId="40" borderId="0" xfId="0" applyFill="1" applyBorder="1" applyAlignment="1">
      <alignment horizontal="center" vertical="center" wrapText="1"/>
    </xf>
    <xf numFmtId="43" fontId="21" fillId="40" borderId="21" xfId="0" applyFill="1" applyBorder="1">
      <alignment vertical="center"/>
    </xf>
    <xf numFmtId="0" fontId="79" fillId="40" borderId="11" xfId="0" applyFill="1" applyBorder="1" applyAlignment="1">
      <alignment vertical="center" wrapText="1"/>
    </xf>
    <xf numFmtId="43" fontId="21" fillId="40" borderId="22" xfId="0" applyNumberFormat="1" applyFill="1" applyBorder="1">
      <alignment vertical="center"/>
    </xf>
    <xf numFmtId="0" fontId="21" fillId="40" borderId="11" xfId="0" applyFill="1" applyBorder="1" applyAlignment="1">
      <alignment horizontal="center" vertical="center"/>
    </xf>
    <xf numFmtId="0" fontId="45" fillId="40" borderId="11" xfId="0" applyFill="1" applyBorder="1" applyAlignment="1">
      <alignment horizontal="center" vertical="center" wrapText="1"/>
    </xf>
    <xf numFmtId="0" fontId="78" fillId="37" borderId="0" xfId="0" applyFill="1" applyBorder="1" applyAlignment="1">
      <alignment horizontal="justify" vertical="center" wrapText="1"/>
    </xf>
    <xf numFmtId="0" fontId="78" fillId="40" borderId="0" xfId="0" applyFill="1" applyBorder="1" applyAlignment="1">
      <alignment horizontal="justify" vertical="center" wrapText="1"/>
    </xf>
    <xf numFmtId="0" fontId="65" fillId="40" borderId="0" xfId="0" applyFill="1" applyBorder="1" applyAlignment="1">
      <alignment vertical="center" wrapText="1"/>
    </xf>
    <xf numFmtId="0" fontId="33" fillId="37" borderId="0" xfId="0" applyBorder="1" applyAlignment="1">
      <alignment horizontal="center" vertical="center" wrapText="1"/>
    </xf>
    <xf numFmtId="0" fontId="45" fillId="37" borderId="0" xfId="0" applyBorder="1" applyAlignment="1">
      <alignment horizontal="center" vertical="center" wrapText="1"/>
    </xf>
    <xf numFmtId="0" fontId="45" fillId="37" borderId="11" xfId="0" applyBorder="1" applyAlignment="1">
      <alignment horizontal="center" vertical="center" wrapText="1"/>
    </xf>
    <xf numFmtId="0" fontId="45" fillId="37" borderId="0" xfId="0" applyBorder="1" applyAlignment="1">
      <alignment horizontal="center" vertical="center"/>
    </xf>
    <xf numFmtId="0" fontId="33" fillId="37" borderId="0" xfId="0" applyFill="1" applyBorder="1" applyAlignment="1">
      <alignment horizontal="center" vertical="center" wrapText="1"/>
    </xf>
    <xf numFmtId="41" fontId="24" fillId="0" borderId="0" xfId="0" applyNumberFormat="1" applyFill="1">
      <alignment vertical="center"/>
    </xf>
    <xf numFmtId="64" fontId="24" fillId="0" borderId="0" xfId="0" applyNumberFormat="1" applyFill="1">
      <alignment vertical="center"/>
    </xf>
    <xf numFmtId="43" fontId="24" fillId="0" borderId="0" xfId="0" applyNumberFormat="1" applyFill="1">
      <alignment vertical="center"/>
    </xf>
    <xf numFmtId="0" fontId="24" fillId="0" borderId="35" xfId="0" applyBorder="1" applyAlignment="1">
      <alignment horizontal="right" vertical="center"/>
    </xf>
    <xf numFmtId="0" fontId="24" fillId="0" borderId="33" xfId="0" applyBorder="1">
      <alignment vertical="center"/>
    </xf>
    <xf numFmtId="0" fontId="24" fillId="0" borderId="33" xfId="0" applyBorder="1" applyAlignment="1">
      <alignment horizontal="center" vertical="center"/>
    </xf>
    <xf numFmtId="43" fontId="24" fillId="0" borderId="38" xfId="0" applyBorder="1">
      <alignment vertical="center"/>
    </xf>
    <xf numFmtId="0" fontId="24" fillId="0" borderId="35" xfId="0" applyFill="1" applyBorder="1" applyAlignment="1">
      <alignment horizontal="right" vertical="center"/>
    </xf>
    <xf numFmtId="0" fontId="24" fillId="0" borderId="33" xfId="0" applyFill="1" applyBorder="1">
      <alignment vertical="center"/>
    </xf>
    <xf numFmtId="0" fontId="24" fillId="0" borderId="33" xfId="0" applyFill="1" applyBorder="1" applyAlignment="1">
      <alignment horizontal="center" vertical="center"/>
    </xf>
    <xf numFmtId="43" fontId="24" fillId="0" borderId="38" xfId="0" applyFill="1" applyBorder="1">
      <alignment vertical="center"/>
    </xf>
    <xf numFmtId="0" fontId="134" fillId="0" borderId="0" xfId="0" applyFill="1" applyBorder="1" applyAlignment="1">
      <alignment vertical="center" wrapText="1"/>
    </xf>
    <xf numFmtId="0" fontId="134" fillId="0" borderId="11" xfId="0" applyFill="1" applyBorder="1" applyAlignment="1">
      <alignment vertical="center" wrapText="1"/>
    </xf>
    <xf numFmtId="0" fontId="30" fillId="0" borderId="0" xfId="0" applyFill="1" applyBorder="1" applyAlignment="1">
      <alignment vertical="center" wrapText="1"/>
    </xf>
    <xf numFmtId="0" fontId="30" fillId="0" borderId="11" xfId="0" applyFill="1" applyBorder="1" applyAlignment="1">
      <alignment vertical="center" wrapText="1"/>
    </xf>
    <xf numFmtId="0" fontId="135" fillId="0" borderId="0" xfId="0" applyFill="1" applyBorder="1" applyAlignment="1">
      <alignment vertical="center" wrapText="1"/>
    </xf>
    <xf numFmtId="0" fontId="136" fillId="0" borderId="0" xfId="0" applyFill="1" applyBorder="1" applyAlignment="1">
      <alignment vertical="center" wrapText="1"/>
    </xf>
    <xf numFmtId="0" fontId="137" fillId="0" borderId="0" xfId="0" applyFill="1" applyBorder="1" applyAlignment="1">
      <alignment vertical="center" wrapText="1"/>
    </xf>
    <xf numFmtId="0" fontId="137" fillId="0" borderId="0" xfId="0" applyFill="1" applyBorder="1" applyAlignment="1">
      <alignment horizontal="justify" vertical="center" wrapText="1"/>
    </xf>
    <xf numFmtId="0" fontId="138" fillId="0" borderId="0" xfId="0" applyFill="1" applyBorder="1" applyAlignment="1">
      <alignment vertical="center" wrapText="1"/>
    </xf>
    <xf numFmtId="0" fontId="139" fillId="0" borderId="0" xfId="0" applyFill="1" applyBorder="1" applyAlignment="1">
      <alignment vertical="center" wrapText="1"/>
    </xf>
    <xf numFmtId="0" fontId="140" fillId="0" borderId="0" xfId="0" applyFill="1" applyBorder="1" applyAlignment="1">
      <alignment vertical="center" wrapText="1"/>
    </xf>
    <xf numFmtId="0" fontId="21" fillId="0" borderId="0" xfId="0" applyFill="1" applyBorder="1" applyAlignment="1">
      <alignment horizontal="justify" vertical="center" wrapText="1"/>
    </xf>
    <xf numFmtId="0" fontId="141" fillId="0" borderId="0" xfId="0" applyFill="1" applyBorder="1" applyAlignment="1">
      <alignment vertical="center" wrapText="1"/>
    </xf>
    <xf numFmtId="43" fontId="21" fillId="0" borderId="0" xfId="0" applyFill="1" applyBorder="1">
      <alignment vertical="center"/>
    </xf>
    <xf numFmtId="43" fontId="51" fillId="0" borderId="20" xfId="0" applyNumberFormat="1" applyFill="1" applyBorder="1">
      <alignment vertical="center"/>
    </xf>
    <xf numFmtId="0" fontId="51" fillId="0" borderId="0" xfId="0" applyFill="1" applyBorder="1" applyAlignment="1">
      <alignment horizontal="center" vertical="center"/>
    </xf>
    <xf numFmtId="43" fontId="51" fillId="0" borderId="21" xfId="0" applyFill="1" applyBorder="1">
      <alignment vertical="center"/>
    </xf>
    <xf numFmtId="43" fontId="45" fillId="0" borderId="0" xfId="0" applyNumberFormat="1" applyFill="1" applyBorder="1">
      <alignment vertical="center"/>
    </xf>
    <xf numFmtId="43" fontId="51" fillId="0" borderId="0" xfId="0" applyNumberFormat="1" applyFill="1" applyBorder="1">
      <alignment vertical="center"/>
    </xf>
    <xf numFmtId="43" fontId="51" fillId="0" borderId="22" xfId="0" applyNumberFormat="1" applyFill="1" applyBorder="1">
      <alignment vertical="center"/>
    </xf>
    <xf numFmtId="0" fontId="51" fillId="0" borderId="11" xfId="0" applyFill="1" applyBorder="1" applyAlignment="1">
      <alignment horizontal="center" vertical="center"/>
    </xf>
    <xf numFmtId="43" fontId="143" fillId="0" borderId="26" xfId="0" applyNumberFormat="1" applyFill="1" applyBorder="1">
      <alignment vertical="center"/>
    </xf>
    <xf numFmtId="43" fontId="51" fillId="0" borderId="23" xfId="0" applyFill="1" applyBorder="1">
      <alignment vertical="center"/>
    </xf>
    <xf numFmtId="43" fontId="45" fillId="0" borderId="20" xfId="0" applyNumberFormat="1" applyFill="1" applyBorder="1">
      <alignment vertical="center"/>
    </xf>
    <xf numFmtId="43" fontId="51" fillId="0" borderId="21" xfId="0" applyNumberFormat="1" applyFill="1" applyBorder="1">
      <alignment vertical="center"/>
    </xf>
    <xf numFmtId="43" fontId="143" fillId="0" borderId="20" xfId="0" applyNumberFormat="1" applyFill="1" applyBorder="1">
      <alignment vertical="center"/>
    </xf>
    <xf numFmtId="0" fontId="143" fillId="0" borderId="0" xfId="0" applyFill="1" applyBorder="1" applyAlignment="1">
      <alignment horizontal="center" vertical="center"/>
    </xf>
    <xf numFmtId="0" fontId="144" fillId="0" borderId="0" xfId="0" applyFill="1" applyBorder="1" applyAlignment="1">
      <alignment horizontal="center" vertical="center" wrapText="1"/>
    </xf>
    <xf numFmtId="43" fontId="143" fillId="0" borderId="21" xfId="0" applyFill="1" applyBorder="1">
      <alignment vertical="center"/>
    </xf>
    <xf numFmtId="43" fontId="26" fillId="0" borderId="0" xfId="0" applyNumberFormat="1" applyFill="1" applyBorder="1">
      <alignment vertical="center"/>
    </xf>
    <xf numFmtId="43" fontId="145" fillId="0" borderId="0" xfId="0" applyFill="1" applyBorder="1">
      <alignment vertical="center"/>
    </xf>
    <xf numFmtId="0" fontId="145" fillId="0" borderId="0" xfId="0" applyFill="1" applyBorder="1">
      <alignment vertical="center"/>
    </xf>
    <xf numFmtId="43" fontId="145" fillId="0" borderId="0" xfId="0" applyFill="1" applyBorder="1" applyAlignment="1">
      <alignment horizontal="right" vertical="center"/>
    </xf>
    <xf numFmtId="43" fontId="51" fillId="37" borderId="20" xfId="0" applyNumberFormat="1" applyFill="1" applyBorder="1">
      <alignment vertical="center"/>
    </xf>
    <xf numFmtId="43" fontId="143" fillId="0" borderId="21" xfId="0" applyNumberFormat="1" applyFill="1" applyBorder="1">
      <alignment vertical="center"/>
    </xf>
    <xf numFmtId="0" fontId="22" fillId="0" borderId="36" xfId="0" applyFill="1" applyBorder="1" applyAlignment="1">
      <alignment horizontal="center" vertical="center"/>
    </xf>
    <xf numFmtId="0" fontId="45" fillId="0" borderId="15" xfId="0" applyFill="1" applyBorder="1" applyAlignment="1">
      <alignment horizontal="right" vertical="center"/>
    </xf>
    <xf numFmtId="0" fontId="51" fillId="0" borderId="15" xfId="0" applyFill="1" applyBorder="1" applyAlignment="1">
      <alignment horizontal="right" vertical="center"/>
    </xf>
    <xf numFmtId="0" fontId="51" fillId="0" borderId="14" xfId="0" applyFill="1" applyBorder="1" applyAlignment="1">
      <alignment horizontal="right" vertical="center"/>
    </xf>
    <xf numFmtId="0" fontId="45" fillId="0" borderId="14" xfId="0" applyFill="1" applyBorder="1" applyAlignment="1">
      <alignment horizontal="right" vertical="center"/>
    </xf>
    <xf numFmtId="43" fontId="24" fillId="0" borderId="23" xfId="0" applyFill="1" applyBorder="1" applyAlignment="1">
      <alignment horizontal="right" vertical="center"/>
    </xf>
    <xf numFmtId="43" fontId="143" fillId="0" borderId="21" xfId="0" applyNumberFormat="1" applyFill="1" applyBorder="1" applyAlignment="1">
      <alignment horizontal="right" vertical="center"/>
    </xf>
    <xf numFmtId="43" fontId="143" fillId="0" borderId="26" xfId="0" applyNumberFormat="1" applyFill="1" applyBorder="1" applyAlignment="1">
      <alignment horizontal="right" vertical="center"/>
    </xf>
    <xf numFmtId="43" fontId="45" fillId="0" borderId="23" xfId="0" applyFill="1" applyBorder="1" applyAlignment="1">
      <alignment horizontal="right" vertical="center"/>
    </xf>
    <xf numFmtId="0" fontId="24" fillId="0" borderId="0" xfId="0" applyFill="1" applyAlignment="1">
      <alignment horizontal="right" vertical="center" wrapText="1"/>
    </xf>
    <xf numFmtId="0" fontId="24" fillId="0" borderId="0" xfId="0" applyFill="1" applyAlignment="1">
      <alignment horizontal="distributed" vertical="center"/>
    </xf>
    <xf numFmtId="0" fontId="24" fillId="0" borderId="0" xfId="0" applyFill="1" applyAlignment="1">
      <alignment vertical="center"/>
    </xf>
    <xf numFmtId="0" fontId="24" fillId="0" borderId="0" xfId="0" applyFill="1" applyAlignment="1">
      <alignment vertical="distributed"/>
    </xf>
    <xf numFmtId="0" fontId="24" fillId="0" borderId="0" xfId="0" applyFill="1" applyAlignment="1">
      <alignment vertical="center" shrinkToFit="1"/>
    </xf>
    <xf numFmtId="0" fontId="24" fillId="0" borderId="0" xfId="0" applyFill="1" applyAlignment="1">
      <alignment horizontal="right" vertical="center" shrinkToFit="1"/>
    </xf>
    <xf numFmtId="0" fontId="24" fillId="0" borderId="0" xfId="0" applyFill="1" applyAlignment="1">
      <alignment horizontal="right" vertical="center" wrapText="1" shrinkToFit="1"/>
    </xf>
    <xf numFmtId="0" fontId="24" fillId="0" borderId="0" xfId="0" applyFill="1" applyAlignment="1">
      <alignment horizontal="left" vertical="center"/>
    </xf>
    <xf numFmtId="0" fontId="145" fillId="0" borderId="0" xfId="0" applyFill="1" applyAlignment="1">
      <alignment horizontal="left" vertical="center"/>
    </xf>
    <xf numFmtId="0" fontId="24" fillId="0" borderId="0" xfId="0" applyFill="1" applyAlignment="1">
      <alignment horizontal="left" vertical="center" wrapText="1"/>
    </xf>
    <xf numFmtId="0" fontId="146" fillId="0" borderId="0" xfId="0" applyFill="1" applyAlignment="1">
      <alignment horizontal="left" vertical="center"/>
    </xf>
    <xf numFmtId="0" fontId="61" fillId="0" borderId="18" xfId="0" applyBorder="1" applyAlignment="1">
      <alignment horizontal="right" vertical="center"/>
    </xf>
    <xf numFmtId="0" fontId="61" fillId="0" borderId="18" xfId="0" applyBorder="1">
      <alignment vertical="center"/>
    </xf>
    <xf numFmtId="0" fontId="61" fillId="0" borderId="18" xfId="0" applyBorder="1" applyAlignment="1">
      <alignment horizontal="center" vertical="center"/>
    </xf>
    <xf numFmtId="0" fontId="61" fillId="0" borderId="18" xfId="0" applyBorder="1" applyAlignment="1">
      <alignment horizontal="left" vertical="center"/>
    </xf>
    <xf numFmtId="0" fontId="30" fillId="0" borderId="0" xfId="0" applyBorder="1" applyAlignment="1">
      <alignment horizontal="left" vertical="center"/>
    </xf>
    <xf numFmtId="0" fontId="30" fillId="0" borderId="0" xfId="0" applyBorder="1" applyAlignment="1"/>
    <xf numFmtId="0" fontId="30" fillId="0" borderId="0" xfId="0" applyBorder="1" applyAlignment="1">
      <alignment horizontal="left"/>
    </xf>
    <xf numFmtId="0" fontId="30" fillId="0" borderId="0" xfId="0" applyBorder="1" applyAlignment="1">
      <alignment horizontal="left" wrapText="1"/>
    </xf>
    <xf numFmtId="43" fontId="51" fillId="0" borderId="0" xfId="0" applyBorder="1" applyAlignment="1"/>
    <xf numFmtId="43" fontId="51" fillId="37" borderId="0" xfId="0" applyBorder="1" applyAlignment="1"/>
    <xf numFmtId="0" fontId="133" fillId="0" borderId="0" xfId="0" applyBorder="1" applyAlignment="1">
      <alignment horizontal="center" vertical="center"/>
    </xf>
    <xf numFmtId="0" fontId="51" fillId="0" borderId="0" xfId="0" applyBorder="1" applyAlignment="1">
      <alignment horizontal="center"/>
    </xf>
    <xf numFmtId="0" fontId="30" fillId="0" borderId="11" xfId="0" applyBorder="1" applyAlignment="1"/>
    <xf numFmtId="43" fontId="51" fillId="0" borderId="11" xfId="0" applyBorder="1" applyAlignment="1"/>
    <xf numFmtId="0" fontId="51" fillId="0" borderId="11" xfId="0" applyBorder="1" applyAlignment="1">
      <alignment horizontal="center"/>
    </xf>
    <xf numFmtId="0" fontId="145" fillId="0" borderId="0" xfId="0" applyFill="1" applyBorder="1" applyAlignment="1">
      <alignment horizontal="right" vertical="center"/>
    </xf>
    <xf numFmtId="43" fontId="51" fillId="0" borderId="0" xfId="0" applyFill="1" applyBorder="1" applyAlignment="1"/>
    <xf numFmtId="43" fontId="51" fillId="0" borderId="20" xfId="0" applyBorder="1" applyAlignment="1"/>
    <xf numFmtId="43" fontId="51" fillId="0" borderId="20" xfId="0" applyFill="1" applyBorder="1" applyAlignment="1"/>
    <xf numFmtId="43" fontId="51" fillId="0" borderId="22" xfId="0" applyBorder="1" applyAlignment="1"/>
    <xf numFmtId="0" fontId="29" fillId="0" borderId="0" xfId="0" applyBorder="1" applyAlignment="1">
      <alignment horizontal="left" vertical="center"/>
    </xf>
    <xf numFmtId="0" fontId="24" fillId="0" borderId="0" xfId="0" applyBorder="1" applyAlignment="1">
      <alignment horizontal="left" vertical="center"/>
    </xf>
    <xf numFmtId="43" fontId="33" fillId="0" borderId="39" xfId="0" applyBorder="1" applyAlignment="1">
      <alignment horizontal="right" vertical="center"/>
    </xf>
    <xf numFmtId="43" fontId="33" fillId="0" borderId="20" xfId="0" applyBorder="1" applyAlignment="1">
      <alignment horizontal="right" vertical="center"/>
    </xf>
    <xf numFmtId="0" fontId="24" fillId="0" borderId="11" xfId="0" applyBorder="1" applyAlignment="1">
      <alignment horizontal="left" vertical="center"/>
    </xf>
    <xf numFmtId="43" fontId="33" fillId="0" borderId="22" xfId="0" applyBorder="1" applyAlignment="1">
      <alignment horizontal="right" vertical="center"/>
    </xf>
    <xf numFmtId="0" fontId="45" fillId="0" borderId="11" xfId="0" applyBorder="1" applyAlignment="1">
      <alignment horizontal="center" vertical="center"/>
    </xf>
    <xf numFmtId="43" fontId="33" fillId="0" borderId="0" xfId="0" applyBorder="1" applyAlignment="1">
      <alignment horizontal="right" vertical="center"/>
    </xf>
    <xf numFmtId="43" fontId="51" fillId="0" borderId="0" xfId="0" applyFill="1" applyBorder="1">
      <alignment vertical="center"/>
    </xf>
    <xf numFmtId="0" fontId="22" fillId="0" borderId="16" xfId="0" applyFill="1" applyBorder="1" applyAlignment="1">
      <alignment horizontal="center" vertical="center"/>
    </xf>
    <xf numFmtId="0" fontId="22" fillId="0" borderId="35" xfId="0" applyFill="1" applyBorder="1" applyAlignment="1">
      <alignment horizontal="center" vertical="center"/>
    </xf>
    <xf numFmtId="0" fontId="22" fillId="0" borderId="33" xfId="0" applyFill="1" applyBorder="1" applyAlignment="1">
      <alignment horizontal="center" vertical="center"/>
    </xf>
    <xf numFmtId="43" fontId="22" fillId="0" borderId="38" xfId="0" applyFill="1" applyBorder="1" applyAlignment="1">
      <alignment horizontal="center" vertical="center"/>
    </xf>
    <xf numFmtId="43" fontId="33" fillId="0" borderId="11" xfId="0" applyBorder="1" applyAlignment="1">
      <alignment horizontal="right" vertical="center"/>
    </xf>
    <xf numFmtId="43" fontId="51" fillId="0" borderId="11" xfId="0" applyFill="1" applyBorder="1">
      <alignment vertical="center"/>
    </xf>
    <xf numFmtId="43" fontId="21" fillId="0" borderId="0" xfId="0" applyFill="1">
      <alignment vertical="center"/>
    </xf>
    <xf numFmtId="0" fontId="22" fillId="0" borderId="40" xfId="0" applyFill="1" applyBorder="1" applyAlignment="1">
      <alignment horizontal="center" vertical="center"/>
    </xf>
    <xf numFmtId="43" fontId="22" fillId="0" borderId="41" xfId="0" applyFill="1" applyBorder="1" applyAlignment="1">
      <alignment horizontal="center" vertical="center"/>
    </xf>
    <xf numFmtId="43" fontId="51" fillId="0" borderId="13" xfId="0" applyFill="1" applyBorder="1">
      <alignment vertical="center"/>
    </xf>
    <xf numFmtId="43" fontId="51" fillId="0" borderId="12" xfId="0" applyFill="1" applyBorder="1">
      <alignment vertical="center"/>
    </xf>
    <xf numFmtId="43" fontId="45" fillId="0" borderId="21" xfId="0" applyFill="1" applyBorder="1">
      <alignment vertical="center"/>
    </xf>
    <xf numFmtId="0" fontId="45" fillId="0" borderId="11" xfId="0" applyFill="1" applyBorder="1" applyAlignment="1">
      <alignment horizontal="center" vertical="center"/>
    </xf>
    <xf numFmtId="43" fontId="45" fillId="0" borderId="23" xfId="0" applyFill="1" applyBorder="1">
      <alignment vertical="center"/>
    </xf>
    <xf numFmtId="0" fontId="24" fillId="0" borderId="25" xfId="0" applyFill="1" applyBorder="1" applyAlignment="1">
      <alignment vertical="center" wrapText="1"/>
    </xf>
    <xf numFmtId="0" fontId="61" fillId="0" borderId="18" xfId="0" applyNumberFormat="1" applyBorder="1" applyAlignment="1">
      <alignment horizontal="right" vertical="center"/>
    </xf>
    <xf numFmtId="0" fontId="61" fillId="0" borderId="18" xfId="0" applyNumberFormat="1" applyBorder="1" applyAlignment="1">
      <alignment horizontal="left" vertical="center"/>
    </xf>
    <xf numFmtId="0" fontId="24" fillId="0" borderId="0" xfId="0" applyBorder="1" applyAlignment="1">
      <alignment horizontal="left" vertical="center" wrapText="1"/>
    </xf>
    <xf numFmtId="0" fontId="24" fillId="0" borderId="0" xfId="0" applyFill="1" applyBorder="1" applyAlignment="1">
      <alignment horizontal="left" vertical="center"/>
    </xf>
    <xf numFmtId="0" fontId="24" fillId="0" borderId="21" xfId="0" applyFill="1" applyBorder="1">
      <alignment vertical="center"/>
    </xf>
    <xf numFmtId="43" fontId="133" fillId="0" borderId="20" xfId="0" applyBorder="1" applyAlignment="1">
      <alignment horizontal="right" vertical="center"/>
    </xf>
    <xf numFmtId="0" fontId="51" fillId="0" borderId="0" xfId="0" applyBorder="1" applyAlignment="1">
      <alignment horizontal="center" vertical="center"/>
    </xf>
    <xf numFmtId="43" fontId="133" fillId="0" borderId="22" xfId="0" applyBorder="1" applyAlignment="1">
      <alignment horizontal="right" vertical="center"/>
    </xf>
    <xf numFmtId="0" fontId="51" fillId="0" borderId="11" xfId="0" applyBorder="1" applyAlignment="1">
      <alignment horizontal="center" vertical="center"/>
    </xf>
    <xf numFmtId="0" fontId="21" fillId="0" borderId="0" xfId="0" applyBorder="1" applyAlignment="1">
      <alignment horizontal="left" vertical="center"/>
    </xf>
    <xf numFmtId="0" fontId="21" fillId="0" borderId="0" xfId="0" applyBorder="1" applyAlignment="1">
      <alignment horizontal="left" vertical="center" wrapText="1"/>
    </xf>
    <xf numFmtId="0" fontId="21" fillId="0" borderId="11" xfId="0" applyBorder="1" applyAlignment="1">
      <alignment horizontal="left" vertical="center"/>
    </xf>
    <xf numFmtId="43" fontId="51" fillId="0" borderId="23" xfId="0" applyFill="1" applyBorder="1" applyAlignment="1">
      <alignment horizontal="right" vertical="center"/>
    </xf>
    <xf numFmtId="0" fontId="24" fillId="0" borderId="0" xfId="0" applyFill="1" applyBorder="1" applyAlignment="1">
      <alignment vertical="top"/>
    </xf>
    <xf numFmtId="0" fontId="24" fillId="0" borderId="25" xfId="0" applyFill="1" applyBorder="1" applyAlignment="1">
      <alignment vertical="top"/>
    </xf>
    <xf numFmtId="0" fontId="24" fillId="0" borderId="11" xfId="0" applyBorder="1" applyAlignment="1">
      <alignment horizontal="left" vertical="center" wrapText="1"/>
    </xf>
    <xf numFmtId="43" fontId="45" fillId="0" borderId="0" xfId="0" applyBorder="1" applyAlignment="1">
      <alignment horizontal="right" vertical="center"/>
    </xf>
    <xf numFmtId="43" fontId="45" fillId="0" borderId="11" xfId="0" applyBorder="1" applyAlignment="1">
      <alignment horizontal="right" vertical="center"/>
    </xf>
    <xf numFmtId="0" fontId="150" fillId="0" borderId="15" xfId="0" applyFill="1" applyBorder="1" applyAlignment="1">
      <alignment horizontal="right" vertical="center"/>
    </xf>
    <xf numFmtId="0" fontId="151" fillId="0" borderId="11" xfId="0" applyBorder="1" applyAlignment="1">
      <alignment horizontal="left" vertical="center" wrapText="1"/>
    </xf>
    <xf numFmtId="43" fontId="152" fillId="0" borderId="11" xfId="0" applyBorder="1" applyAlignment="1">
      <alignment horizontal="right" vertical="center"/>
    </xf>
    <xf numFmtId="0" fontId="150" fillId="0" borderId="0" xfId="0" applyFill="1" applyBorder="1" applyAlignment="1">
      <alignment horizontal="center" vertical="center"/>
    </xf>
    <xf numFmtId="0" fontId="152" fillId="0" borderId="11" xfId="0" applyBorder="1" applyAlignment="1">
      <alignment horizontal="center" vertical="center"/>
    </xf>
    <xf numFmtId="43" fontId="150" fillId="0" borderId="21" xfId="0" applyFill="1" applyBorder="1">
      <alignment vertical="center"/>
    </xf>
    <xf numFmtId="43" fontId="45" fillId="0" borderId="20" xfId="0" applyBorder="1" applyAlignment="1">
      <alignment horizontal="right" vertical="center"/>
    </xf>
    <xf numFmtId="43" fontId="45" fillId="0" borderId="22" xfId="0" applyBorder="1" applyAlignment="1">
      <alignment horizontal="right" vertical="center"/>
    </xf>
    <xf numFmtId="0" fontId="145" fillId="0" borderId="11" xfId="0" applyBorder="1" applyAlignment="1">
      <alignment horizontal="right" vertical="center"/>
    </xf>
    <xf numFmtId="0" fontId="145" fillId="0" borderId="0" xfId="0" applyBorder="1" applyAlignment="1">
      <alignment horizontal="left" vertical="center"/>
    </xf>
    <xf numFmtId="0" fontId="22" fillId="0" borderId="36" xfId="0" applyBorder="1" applyAlignment="1">
      <alignment horizontal="center" vertical="center"/>
    </xf>
    <xf numFmtId="0" fontId="145" fillId="0" borderId="10" xfId="0" applyBorder="1" applyAlignment="1">
      <alignment horizontal="center" vertical="center"/>
    </xf>
    <xf numFmtId="66" fontId="22" fillId="0" borderId="19" xfId="0" applyBorder="1" applyAlignment="1">
      <alignment horizontal="center" vertical="center"/>
    </xf>
    <xf numFmtId="0" fontId="45" fillId="0" borderId="15" xfId="0" applyBorder="1" applyAlignment="1">
      <alignment horizontal="right" vertical="center"/>
    </xf>
    <xf numFmtId="0" fontId="153" fillId="0" borderId="0" xfId="0" applyBorder="1" applyAlignment="1">
      <alignment vertical="center"/>
    </xf>
    <xf numFmtId="0" fontId="21" fillId="0" borderId="20" xfId="0" applyBorder="1" applyAlignment="1">
      <alignment horizontal="center" vertical="center"/>
    </xf>
    <xf numFmtId="43" fontId="51" fillId="0" borderId="0" xfId="0" applyBorder="1" applyAlignment="1">
      <alignment vertical="center"/>
    </xf>
    <xf numFmtId="43" fontId="51" fillId="0" borderId="21" xfId="0" applyBorder="1" applyAlignment="1">
      <alignment vertical="center"/>
    </xf>
    <xf numFmtId="0" fontId="51" fillId="0" borderId="15" xfId="0" applyBorder="1" applyAlignment="1">
      <alignment horizontal="right" vertical="center"/>
    </xf>
    <xf numFmtId="43" fontId="51" fillId="0" borderId="0" xfId="0" applyBorder="1">
      <alignment vertical="center"/>
    </xf>
    <xf numFmtId="0" fontId="24" fillId="0" borderId="0" xfId="0" applyBorder="1" applyAlignment="1">
      <alignment vertical="center"/>
    </xf>
    <xf numFmtId="0" fontId="51" fillId="37" borderId="0" xfId="0" applyBorder="1" applyAlignment="1">
      <alignment horizontal="center" vertical="center"/>
    </xf>
    <xf numFmtId="0" fontId="24" fillId="0" borderId="0" xfId="0" applyBorder="1" applyAlignment="1">
      <alignment horizontal="left" wrapText="1"/>
    </xf>
    <xf numFmtId="0" fontId="24" fillId="0" borderId="0" xfId="0" applyBorder="1" applyAlignment="1">
      <alignment wrapText="1"/>
    </xf>
    <xf numFmtId="0" fontId="29" fillId="0" borderId="0" xfId="0" applyBorder="1" applyAlignment="1">
      <alignment wrapText="1"/>
    </xf>
    <xf numFmtId="0" fontId="24" fillId="0" borderId="0" xfId="0" applyBorder="1" applyAlignment="1"/>
    <xf numFmtId="0" fontId="51" fillId="0" borderId="14" xfId="0" applyBorder="1" applyAlignment="1">
      <alignment horizontal="right" vertical="center"/>
    </xf>
    <xf numFmtId="0" fontId="24" fillId="0" borderId="11" xfId="0" applyBorder="1" applyAlignment="1">
      <alignment wrapText="1"/>
    </xf>
    <xf numFmtId="0" fontId="21" fillId="0" borderId="22" xfId="0" applyBorder="1" applyAlignment="1">
      <alignment horizontal="center" vertical="center"/>
    </xf>
    <xf numFmtId="43" fontId="51" fillId="0" borderId="11" xfId="0" applyBorder="1" applyAlignment="1">
      <alignment vertical="center"/>
    </xf>
    <xf numFmtId="43" fontId="51" fillId="0" borderId="23" xfId="0" applyBorder="1" applyAlignment="1">
      <alignment vertical="center"/>
    </xf>
    <xf numFmtId="0" fontId="23" fillId="0" borderId="24" xfId="0" applyBorder="1" applyAlignment="1">
      <alignment horizontal="center" vertical="center"/>
    </xf>
    <xf numFmtId="0" fontId="23" fillId="0" borderId="25" xfId="0" applyBorder="1" applyAlignment="1">
      <alignment horizontal="left" vertical="center"/>
    </xf>
    <xf numFmtId="66" fontId="23" fillId="0" borderId="26" xfId="0" applyBorder="1" applyAlignment="1">
      <alignment vertical="center"/>
    </xf>
    <xf numFmtId="0" fontId="23" fillId="0" borderId="0" xfId="0" applyBorder="1" applyAlignment="1">
      <alignment horizontal="center" vertical="center"/>
    </xf>
    <xf numFmtId="0" fontId="23" fillId="0" borderId="0" xfId="0" applyBorder="1" applyAlignment="1">
      <alignment horizontal="left" vertical="center"/>
    </xf>
    <xf numFmtId="66" fontId="23" fillId="0" borderId="0" xfId="0" applyBorder="1" applyAlignment="1">
      <alignment vertical="center"/>
    </xf>
    <xf numFmtId="66" fontId="24" fillId="0" borderId="0" xfId="0" applyBorder="1" applyAlignment="1">
      <alignment vertical="center"/>
    </xf>
    <xf numFmtId="0" fontId="24" fillId="0" borderId="20" xfId="0" applyBorder="1" applyAlignment="1">
      <alignment horizontal="center" vertical="center"/>
    </xf>
    <xf numFmtId="43" fontId="45" fillId="0" borderId="0" xfId="0" applyBorder="1" applyAlignment="1">
      <alignment vertical="center"/>
    </xf>
    <xf numFmtId="43" fontId="45" fillId="0" borderId="21" xfId="0" applyBorder="1" applyAlignment="1">
      <alignment vertical="center"/>
    </xf>
    <xf numFmtId="43" fontId="45" fillId="0" borderId="0" xfId="0" applyBorder="1" applyAlignment="1">
      <alignment horizontal="center" vertical="center"/>
    </xf>
    <xf numFmtId="0" fontId="24" fillId="0" borderId="22" xfId="0" applyBorder="1" applyAlignment="1">
      <alignment horizontal="center" vertical="center"/>
    </xf>
    <xf numFmtId="43" fontId="45" fillId="0" borderId="11" xfId="0" applyBorder="1" applyAlignment="1">
      <alignment horizontal="center" vertical="center"/>
    </xf>
    <xf numFmtId="43" fontId="45" fillId="0" borderId="23" xfId="0" applyBorder="1" applyAlignment="1">
      <alignment vertical="center"/>
    </xf>
    <xf numFmtId="0" fontId="24" fillId="0" borderId="24" xfId="0" applyBorder="1">
      <alignment vertical="center"/>
    </xf>
    <xf numFmtId="0" fontId="24" fillId="0" borderId="20" xfId="0" applyBorder="1">
      <alignment vertical="center"/>
    </xf>
    <xf numFmtId="0" fontId="145" fillId="0" borderId="25" xfId="0" applyBorder="1" applyAlignment="1">
      <alignment horizontal="left" vertical="center"/>
    </xf>
    <xf numFmtId="66" fontId="145" fillId="0" borderId="26" xfId="0" applyBorder="1" applyAlignment="1">
      <alignment vertical="center"/>
    </xf>
    <xf numFmtId="66" fontId="145" fillId="0" borderId="26" xfId="0" applyBorder="1">
      <alignment vertical="center"/>
    </xf>
    <xf numFmtId="0" fontId="145" fillId="0" borderId="0" xfId="0">
      <alignment vertical="center"/>
    </xf>
    <xf numFmtId="0" fontId="61" fillId="0" borderId="18" xfId="0" applyNumberFormat="1" applyBorder="1" applyAlignment="1">
      <alignment horizontal="center" vertical="center"/>
    </xf>
    <xf numFmtId="0" fontId="24" fillId="0" borderId="33" xfId="0" applyFill="1" applyBorder="1" applyAlignment="1">
      <alignment horizontal="right" vertical="center"/>
    </xf>
    <xf numFmtId="0" fontId="145" fillId="0" borderId="33" xfId="0" applyFill="1" applyBorder="1" applyAlignment="1">
      <alignment horizontal="right" vertical="center"/>
    </xf>
    <xf numFmtId="0" fontId="156" fillId="0" borderId="33" xfId="0" applyFill="1" applyBorder="1" applyAlignment="1">
      <alignment horizontal="right" vertical="center"/>
    </xf>
    <xf numFmtId="0" fontId="157" fillId="0" borderId="0" xfId="0" applyFill="1" applyBorder="1">
      <alignment vertical="center"/>
    </xf>
    <xf numFmtId="0" fontId="24" fillId="0" borderId="0" xfId="0" applyBorder="1" applyAlignment="1">
      <alignment vertical="center" wrapText="1"/>
    </xf>
    <xf numFmtId="0" fontId="153" fillId="0" borderId="0" xfId="0" applyBorder="1" applyAlignment="1">
      <alignment vertical="center" wrapText="1"/>
    </xf>
    <xf numFmtId="66" fontId="23" fillId="0" borderId="21" xfId="0" applyBorder="1" applyAlignment="1">
      <alignment vertical="center"/>
    </xf>
    <xf numFmtId="0" fontId="23" fillId="0" borderId="20" xfId="0" applyBorder="1" applyAlignment="1">
      <alignment horizontal="center" vertical="center"/>
    </xf>
    <xf numFmtId="0" fontId="23" fillId="0" borderId="20" xfId="0" applyBorder="1" applyAlignment="1">
      <alignment horizontal="left" vertical="center"/>
    </xf>
    <xf numFmtId="0" fontId="145" fillId="0" borderId="0" xfId="0" applyBorder="1" applyAlignment="1">
      <alignment horizontal="right" vertical="center"/>
    </xf>
    <xf numFmtId="0" fontId="24" fillId="0" borderId="11" xfId="0" applyFill="1" applyBorder="1">
      <alignment vertical="center"/>
    </xf>
    <xf numFmtId="0" fontId="153" fillId="0" borderId="11" xfId="0" applyBorder="1" applyAlignment="1">
      <alignment vertical="center" wrapText="1"/>
    </xf>
    <xf numFmtId="43" fontId="51" fillId="0" borderId="11" xfId="0" applyBorder="1">
      <alignment vertical="center"/>
    </xf>
    <xf numFmtId="0" fontId="24" fillId="0" borderId="42" xfId="0" applyFill="1" applyBorder="1">
      <alignment vertical="center"/>
    </xf>
    <xf numFmtId="0" fontId="21" fillId="0" borderId="24" xfId="0" applyBorder="1" applyAlignment="1">
      <alignment horizontal="center" vertical="center"/>
    </xf>
    <xf numFmtId="0" fontId="65" fillId="0" borderId="0" xfId="0" applyBorder="1" applyAlignment="1">
      <alignment wrapText="1"/>
    </xf>
    <xf numFmtId="0" fontId="65" fillId="0" borderId="0" xfId="0" applyBorder="1" applyAlignment="1">
      <alignment vertical="center" wrapText="1"/>
    </xf>
    <xf numFmtId="0" fontId="78" fillId="0" borderId="0" xfId="0" applyBorder="1" applyAlignment="1">
      <alignment wrapText="1"/>
    </xf>
    <xf numFmtId="0" fontId="78" fillId="0" borderId="0" xfId="0" applyBorder="1" applyAlignment="1">
      <alignment vertical="center" wrapText="1"/>
    </xf>
    <xf numFmtId="0" fontId="78" fillId="0" borderId="11" xfId="0" applyBorder="1" applyAlignment="1">
      <alignment vertical="center" wrapText="1"/>
    </xf>
    <xf numFmtId="43" fontId="45" fillId="0" borderId="20" xfId="0" applyBorder="1">
      <alignment vertical="center"/>
    </xf>
    <xf numFmtId="43" fontId="33" fillId="0" borderId="20" xfId="0" applyBorder="1" applyAlignment="1">
      <alignment vertical="center"/>
    </xf>
    <xf numFmtId="43" fontId="33" fillId="0" borderId="22" xfId="0" applyBorder="1" applyAlignment="1">
      <alignment vertical="center"/>
    </xf>
    <xf numFmtId="0" fontId="78" fillId="0" borderId="11" xfId="0" applyBorder="1" applyAlignment="1">
      <alignment wrapText="1"/>
    </xf>
    <xf numFmtId="43" fontId="45" fillId="0" borderId="22" xfId="0" applyBorder="1">
      <alignment vertical="center"/>
    </xf>
    <xf numFmtId="0" fontId="22" fillId="0" borderId="0" xfId="0" applyBorder="1" applyAlignment="1">
      <alignment horizontal="center" vertical="center"/>
    </xf>
    <xf numFmtId="0" fontId="145" fillId="0" borderId="0" xfId="0" applyBorder="1" applyAlignment="1">
      <alignment horizontal="center" vertical="center"/>
    </xf>
    <xf numFmtId="66" fontId="22" fillId="0" borderId="0" xfId="0" applyBorder="1" applyAlignment="1">
      <alignment horizontal="center" vertical="center"/>
    </xf>
    <xf numFmtId="43" fontId="45" fillId="0" borderId="0" xfId="0" applyBorder="1">
      <alignment vertical="center"/>
    </xf>
    <xf numFmtId="43" fontId="33" fillId="0" borderId="0" xfId="0" applyBorder="1" applyAlignment="1">
      <alignment vertical="center"/>
    </xf>
    <xf numFmtId="66" fontId="145" fillId="0" borderId="0" xfId="0" applyBorder="1">
      <alignment vertical="center"/>
    </xf>
    <xf numFmtId="0" fontId="145" fillId="0" borderId="0" xfId="0" applyBorder="1">
      <alignment vertical="center"/>
    </xf>
    <xf numFmtId="0" fontId="145" fillId="0" borderId="33" xfId="0" applyBorder="1" applyAlignment="1">
      <alignment horizontal="center" vertical="center"/>
    </xf>
    <xf numFmtId="66" fontId="22" fillId="0" borderId="38" xfId="0" applyBorder="1" applyAlignment="1">
      <alignment horizontal="center" vertical="center"/>
    </xf>
    <xf numFmtId="0" fontId="51" fillId="0" borderId="20" xfId="0" applyBorder="1" applyAlignment="1">
      <alignment horizontal="right" vertical="center"/>
    </xf>
    <xf numFmtId="0" fontId="51" fillId="0" borderId="24" xfId="0" applyBorder="1" applyAlignment="1">
      <alignment horizontal="right" vertical="center"/>
    </xf>
    <xf numFmtId="0" fontId="78" fillId="0" borderId="25" xfId="0" applyBorder="1" applyAlignment="1">
      <alignment vertical="center" wrapText="1"/>
    </xf>
    <xf numFmtId="43" fontId="33" fillId="0" borderId="25" xfId="0" applyBorder="1" applyAlignment="1">
      <alignment vertical="center"/>
    </xf>
    <xf numFmtId="0" fontId="45" fillId="0" borderId="25" xfId="0" applyBorder="1" applyAlignment="1">
      <alignment horizontal="center" vertical="center"/>
    </xf>
    <xf numFmtId="43" fontId="45" fillId="0" borderId="26" xfId="0" applyBorder="1" applyAlignment="1">
      <alignment vertical="center"/>
    </xf>
    <xf numFmtId="0" fontId="24" fillId="0" borderId="24" xfId="0" applyBorder="1" applyAlignment="1">
      <alignment horizontal="center" vertical="center"/>
    </xf>
    <xf numFmtId="0" fontId="78" fillId="0" borderId="25" xfId="0" applyBorder="1" applyAlignment="1">
      <alignment wrapText="1"/>
    </xf>
    <xf numFmtId="43" fontId="45" fillId="0" borderId="25" xfId="0" applyBorder="1">
      <alignment vertical="center"/>
    </xf>
    <xf numFmtId="0" fontId="145" fillId="0" borderId="18" xfId="0" applyBorder="1" applyAlignment="1">
      <alignment horizontal="center" vertical="center"/>
    </xf>
    <xf numFmtId="0" fontId="145" fillId="0" borderId="0" xfId="0" applyFill="1" applyBorder="1" applyAlignment="1">
      <alignment horizontal="left" vertical="center"/>
    </xf>
    <xf numFmtId="66" fontId="145" fillId="0" borderId="21" xfId="0" applyBorder="1" applyAlignment="1">
      <alignment vertical="center"/>
    </xf>
    <xf numFmtId="66" fontId="144" fillId="0" borderId="21" xfId="0" applyBorder="1" applyAlignment="1">
      <alignment vertical="center"/>
    </xf>
    <xf numFmtId="66" fontId="144" fillId="0" borderId="21" xfId="0" applyBorder="1" applyAlignment="1">
      <alignment horizontal="left" vertical="center" indent="1"/>
    </xf>
    <xf numFmtId="66" fontId="144" fillId="0" borderId="21" xfId="0" applyBorder="1" applyAlignment="1">
      <alignment horizontal="left" vertical="center" indent="2"/>
    </xf>
    <xf numFmtId="66" fontId="144" fillId="0" borderId="21" xfId="0" applyBorder="1" applyAlignment="1">
      <alignment horizontal="left" vertical="center"/>
    </xf>
    <xf numFmtId="66" fontId="144" fillId="0" borderId="21" xfId="0" applyBorder="1" applyAlignment="1">
      <alignment horizontal="left" vertical="center" indent="3"/>
    </xf>
    <xf numFmtId="66" fontId="144" fillId="0" borderId="21" xfId="0" applyBorder="1" applyAlignment="1">
      <alignment horizontal="left" vertical="center" indent="4"/>
    </xf>
    <xf numFmtId="66" fontId="144" fillId="0" borderId="21" xfId="0" applyBorder="1" applyAlignment="1">
      <alignment horizontal="left" vertical="center" indent="5"/>
    </xf>
    <xf numFmtId="67" fontId="144" fillId="0" borderId="21" xfId="0" applyNumberFormat="1" applyBorder="1" applyAlignment="1">
      <alignment horizontal="left" vertical="center"/>
    </xf>
    <xf numFmtId="68" fontId="144" fillId="0" borderId="38" xfId="0" applyNumberFormat="1" applyBorder="1" applyAlignment="1">
      <alignment horizontal="left" vertical="center"/>
    </xf>
    <xf numFmtId="67" fontId="144" fillId="0" borderId="38" xfId="0" applyNumberFormat="1" applyBorder="1" applyAlignment="1">
      <alignment horizontal="left" vertical="center"/>
    </xf>
    <xf numFmtId="67" fontId="144" fillId="0" borderId="38" xfId="0" applyNumberFormat="1" applyBorder="1" applyAlignment="1">
      <alignment horizontal="left" vertical="center" indent="1"/>
    </xf>
    <xf numFmtId="67" fontId="144" fillId="0" borderId="38" xfId="0" applyNumberFormat="1" applyBorder="1" applyAlignment="1">
      <alignment horizontal="left" vertical="center" indent="2"/>
    </xf>
    <xf numFmtId="67" fontId="144" fillId="0" borderId="38" xfId="0" applyNumberFormat="1" applyBorder="1" applyAlignment="1">
      <alignment horizontal="left" vertical="center" indent="3"/>
    </xf>
    <xf numFmtId="67" fontId="144" fillId="0" borderId="38" xfId="0" applyNumberFormat="1" applyBorder="1" applyAlignment="1">
      <alignment horizontal="left" vertical="center" indent="4"/>
    </xf>
    <xf numFmtId="67" fontId="161" fillId="0" borderId="38" xfId="0" applyNumberFormat="1" applyBorder="1" applyAlignment="1">
      <alignment horizontal="left" vertical="center"/>
    </xf>
    <xf numFmtId="41" fontId="144" fillId="0" borderId="38" xfId="0" applyNumberFormat="1" applyBorder="1" applyAlignment="1">
      <alignment horizontal="left" vertical="center"/>
    </xf>
    <xf numFmtId="64" fontId="144" fillId="0" borderId="38" xfId="0" applyNumberFormat="1" applyBorder="1" applyAlignment="1">
      <alignment horizontal="left" vertical="center"/>
    </xf>
    <xf numFmtId="43" fontId="144" fillId="0" borderId="38" xfId="0" applyNumberFormat="1" applyBorder="1" applyAlignment="1">
      <alignment horizontal="left" vertical="center"/>
    </xf>
    <xf numFmtId="43" fontId="45" fillId="0" borderId="38" xfId="0" applyNumberFormat="1" applyBorder="1" applyAlignment="1">
      <alignment horizontal="left" vertical="center"/>
    </xf>
    <xf numFmtId="67" fontId="145" fillId="0" borderId="26" xfId="0" applyNumberFormat="1" applyBorder="1">
      <alignment vertical="center"/>
    </xf>
    <xf numFmtId="41" fontId="145" fillId="0" borderId="26" xfId="0" applyNumberFormat="1" applyBorder="1">
      <alignment vertical="center"/>
    </xf>
    <xf numFmtId="64" fontId="145" fillId="0" borderId="26" xfId="0" applyNumberFormat="1" applyBorder="1">
      <alignment vertical="center"/>
    </xf>
    <xf numFmtId="43" fontId="145" fillId="0" borderId="26" xfId="0" applyNumberFormat="1" applyBorder="1">
      <alignment vertical="center"/>
    </xf>
    <xf numFmtId="43" fontId="144" fillId="0" borderId="26" xfId="0" applyNumberFormat="1" applyBorder="1">
      <alignment vertical="center"/>
    </xf>
    <xf numFmtId="43" fontId="51" fillId="0" borderId="26" xfId="0" applyBorder="1" applyAlignment="1">
      <alignment vertical="center"/>
    </xf>
    <xf numFmtId="0" fontId="51" fillId="0" borderId="22" xfId="0" applyBorder="1" applyAlignment="1">
      <alignment horizontal="right" vertical="center"/>
    </xf>
    <xf numFmtId="0" fontId="65" fillId="0" borderId="11" xfId="0" applyBorder="1" applyAlignment="1">
      <alignment wrapText="1"/>
    </xf>
    <xf numFmtId="0" fontId="24" fillId="0" borderId="20" xfId="0" applyBorder="1" applyAlignment="1">
      <alignment horizontal="left" vertical="center"/>
    </xf>
    <xf numFmtId="0" fontId="24" fillId="0" borderId="24" xfId="0" applyBorder="1" applyAlignment="1">
      <alignment horizontal="left" vertical="center"/>
    </xf>
    <xf numFmtId="0" fontId="140" fillId="0" borderId="0" xfId="0" applyFill="1" applyAlignment="1">
      <alignment horizontal="left" vertical="center"/>
    </xf>
    <xf numFmtId="0" fontId="65" fillId="0" borderId="25" xfId="0" applyBorder="1" applyAlignment="1">
      <alignment wrapText="1"/>
    </xf>
    <xf numFmtId="0" fontId="30" fillId="36" borderId="0" xfId="0" applyBorder="1" applyAlignment="1">
      <alignment wrapText="1"/>
    </xf>
    <xf numFmtId="0" fontId="30" fillId="40" borderId="0" xfId="0" applyBorder="1" applyAlignment="1">
      <alignment wrapText="1"/>
    </xf>
    <xf numFmtId="0" fontId="30" fillId="41" borderId="0" xfId="0" applyBorder="1" applyAlignment="1">
      <alignment wrapText="1"/>
    </xf>
    <xf numFmtId="43" fontId="45" fillId="36" borderId="20" xfId="0" applyBorder="1">
      <alignment vertical="center"/>
    </xf>
    <xf numFmtId="43" fontId="45" fillId="40" borderId="20" xfId="0" applyBorder="1">
      <alignment vertical="center"/>
    </xf>
    <xf numFmtId="43" fontId="45" fillId="41" borderId="20" xfId="0" applyBorder="1">
      <alignment vertical="center"/>
    </xf>
    <xf numFmtId="0" fontId="45" fillId="36" borderId="0" xfId="0" applyBorder="1" applyAlignment="1">
      <alignment horizontal="center" vertical="center"/>
    </xf>
    <xf numFmtId="0" fontId="45" fillId="40" borderId="0" xfId="0" applyBorder="1" applyAlignment="1">
      <alignment horizontal="center" vertical="center"/>
    </xf>
    <xf numFmtId="0" fontId="45" fillId="41" borderId="0" xfId="0" applyBorder="1" applyAlignment="1">
      <alignment horizontal="center" vertical="center"/>
    </xf>
    <xf numFmtId="0" fontId="30" fillId="0" borderId="0" xfId="0" applyFill="1" applyBorder="1" applyAlignment="1">
      <alignment wrapText="1"/>
    </xf>
    <xf numFmtId="0" fontId="24" fillId="0" borderId="20" xfId="0" applyFill="1" applyBorder="1" applyAlignment="1">
      <alignment horizontal="center" vertical="center"/>
    </xf>
    <xf numFmtId="43" fontId="45" fillId="0" borderId="20" xfId="0" applyFill="1" applyBorder="1">
      <alignment vertical="center"/>
    </xf>
    <xf numFmtId="0" fontId="24" fillId="0" borderId="24" xfId="0" applyFill="1" applyBorder="1" applyAlignment="1">
      <alignment horizontal="center" vertical="center"/>
    </xf>
    <xf numFmtId="0" fontId="51" fillId="0" borderId="20" xfId="0" applyBorder="1" applyAlignment="1">
      <alignment horizontal="center" vertical="center"/>
    </xf>
    <xf numFmtId="0" fontId="30" fillId="0" borderId="0" xfId="0" applyFill="1" applyBorder="1" applyAlignment="1">
      <alignment horizontal="center" wrapText="1"/>
    </xf>
    <xf numFmtId="43" fontId="45" fillId="0" borderId="20" xfId="0" applyFill="1" applyBorder="1" applyAlignment="1">
      <alignment horizontal="center" vertical="center"/>
    </xf>
    <xf numFmtId="43" fontId="51" fillId="0" borderId="21" xfId="0" applyBorder="1" applyAlignment="1">
      <alignment horizontal="center" vertical="center"/>
    </xf>
    <xf numFmtId="43" fontId="51" fillId="0" borderId="26" xfId="0" applyBorder="1" applyAlignment="1">
      <alignment horizontal="center" vertical="center"/>
    </xf>
    <xf numFmtId="0" fontId="51" fillId="0" borderId="20" xfId="0" applyBorder="1" applyAlignment="1">
      <alignment horizontal="left" vertical="center"/>
    </xf>
    <xf numFmtId="0" fontId="30" fillId="0" borderId="0" xfId="0" applyFill="1" applyBorder="1" applyAlignment="1">
      <alignment horizontal="left" wrapText="1"/>
    </xf>
    <xf numFmtId="0" fontId="24" fillId="0" borderId="20" xfId="0" applyFill="1" applyBorder="1" applyAlignment="1">
      <alignment horizontal="left" vertical="center"/>
    </xf>
    <xf numFmtId="43" fontId="45" fillId="0" borderId="20" xfId="0" applyFill="1" applyBorder="1" applyAlignment="1">
      <alignment horizontal="left" vertical="center"/>
    </xf>
    <xf numFmtId="0" fontId="45" fillId="0" borderId="0" xfId="0" applyFill="1" applyBorder="1" applyAlignment="1">
      <alignment horizontal="left" vertical="center"/>
    </xf>
    <xf numFmtId="43" fontId="51" fillId="0" borderId="21" xfId="0" applyBorder="1" applyAlignment="1">
      <alignment horizontal="left" vertical="center"/>
    </xf>
    <xf numFmtId="0" fontId="24" fillId="0" borderId="24" xfId="0" applyFill="1" applyBorder="1" applyAlignment="1">
      <alignment horizontal="left" vertical="center"/>
    </xf>
    <xf numFmtId="43" fontId="51" fillId="0" borderId="26" xfId="0" applyBorder="1" applyAlignment="1">
      <alignment horizontal="left" vertical="center"/>
    </xf>
    <xf numFmtId="43" fontId="45" fillId="0" borderId="0" xfId="0" applyFill="1" applyBorder="1" applyAlignment="1">
      <alignment horizontal="left" vertical="center"/>
    </xf>
    <xf numFmtId="0" fontId="51" fillId="0" borderId="24" xfId="0" applyBorder="1" applyAlignment="1">
      <alignment horizontal="left" vertical="center"/>
    </xf>
    <xf numFmtId="0" fontId="30" fillId="0" borderId="25" xfId="0" applyFill="1" applyBorder="1" applyAlignment="1">
      <alignment horizontal="left" wrapText="1"/>
    </xf>
    <xf numFmtId="43" fontId="45" fillId="0" borderId="25" xfId="0" applyFill="1" applyBorder="1" applyAlignment="1">
      <alignment horizontal="left" vertical="center"/>
    </xf>
    <xf numFmtId="0" fontId="45" fillId="0" borderId="25" xfId="0" applyFill="1" applyBorder="1" applyAlignment="1">
      <alignment horizontal="center" vertical="center"/>
    </xf>
    <xf numFmtId="0" fontId="51" fillId="0" borderId="24" xfId="0" applyBorder="1" applyAlignment="1">
      <alignment horizontal="center" vertical="center"/>
    </xf>
    <xf numFmtId="43" fontId="45" fillId="0" borderId="0" xfId="0" applyFill="1" applyBorder="1" applyAlignment="1">
      <alignment horizontal="center" vertical="center"/>
    </xf>
    <xf numFmtId="0" fontId="30" fillId="0" borderId="25" xfId="0" applyFill="1" applyBorder="1" applyAlignment="1">
      <alignment horizontal="center" wrapText="1"/>
    </xf>
    <xf numFmtId="43" fontId="45" fillId="0" borderId="25" xfId="0" applyFill="1" applyBorder="1" applyAlignment="1">
      <alignment horizontal="center" vertical="center"/>
    </xf>
    <xf numFmtId="0" fontId="30" fillId="0" borderId="0" xfId="0" applyFill="1" applyBorder="1" applyAlignment="1">
      <alignment horizontal="left" vertical="center" wrapText="1"/>
    </xf>
    <xf numFmtId="0" fontId="30" fillId="0" borderId="25" xfId="0" applyFill="1" applyBorder="1" applyAlignment="1">
      <alignment horizontal="left" vertical="center" wrapText="1"/>
    </xf>
    <xf numFmtId="0" fontId="162" fillId="11" borderId="0" xfId="0" applyBorder="1" applyAlignment="1">
      <alignment vertical="center" wrapText="1"/>
    </xf>
    <xf numFmtId="43" fontId="51" fillId="11" borderId="20" xfId="0" applyBorder="1" applyAlignment="1">
      <alignment vertical="center"/>
    </xf>
    <xf numFmtId="43" fontId="45" fillId="11" borderId="20" xfId="0" applyBorder="1">
      <alignment vertical="center"/>
    </xf>
    <xf numFmtId="0" fontId="148" fillId="37" borderId="0" xfId="0" applyBorder="1" applyAlignment="1">
      <alignment vertical="center" wrapText="1"/>
    </xf>
    <xf numFmtId="0" fontId="65" fillId="37" borderId="0" xfId="0" applyBorder="1" applyAlignment="1">
      <alignment vertical="center" wrapText="1"/>
    </xf>
    <xf numFmtId="43" fontId="45" fillId="37" borderId="20" xfId="0" applyBorder="1" applyAlignment="1">
      <alignment vertical="center"/>
    </xf>
    <xf numFmtId="43" fontId="45" fillId="37" borderId="20" xfId="0" applyBorder="1">
      <alignment vertical="center"/>
    </xf>
    <xf numFmtId="0" fontId="162" fillId="0" borderId="0" xfId="0" applyBorder="1" applyAlignment="1">
      <alignment vertical="center" wrapText="1"/>
    </xf>
    <xf numFmtId="0" fontId="162" fillId="42" borderId="0" xfId="0" applyBorder="1" applyAlignment="1">
      <alignment vertical="center" wrapText="1"/>
    </xf>
    <xf numFmtId="0" fontId="162" fillId="40" borderId="0" xfId="0" applyBorder="1" applyAlignment="1">
      <alignment vertical="center" wrapText="1"/>
    </xf>
    <xf numFmtId="43" fontId="45" fillId="43" borderId="20" xfId="0" applyBorder="1">
      <alignment vertical="center"/>
    </xf>
    <xf numFmtId="43" fontId="45" fillId="42" borderId="20" xfId="0" applyBorder="1">
      <alignment vertical="center"/>
    </xf>
    <xf numFmtId="0" fontId="45" fillId="42" borderId="0" xfId="0" applyBorder="1" applyAlignment="1">
      <alignment horizontal="center" vertical="center"/>
    </xf>
    <xf numFmtId="0" fontId="65" fillId="40" borderId="0" xfId="0" applyBorder="1" applyAlignment="1">
      <alignment vertical="center" wrapText="1"/>
    </xf>
    <xf numFmtId="43" fontId="33" fillId="43" borderId="20" xfId="0" applyBorder="1" applyAlignment="1">
      <alignment vertical="center"/>
    </xf>
    <xf numFmtId="0" fontId="148" fillId="11" borderId="0" xfId="0" applyBorder="1" applyAlignment="1">
      <alignment vertical="center" wrapText="1"/>
    </xf>
    <xf numFmtId="0" fontId="29" fillId="37" borderId="0" xfId="0" applyBorder="1" applyAlignment="1">
      <alignment vertical="center" wrapText="1"/>
    </xf>
    <xf numFmtId="0" fontId="148" fillId="0" borderId="0" xfId="0" applyBorder="1" applyAlignment="1">
      <alignment vertical="center" wrapText="1"/>
    </xf>
    <xf numFmtId="0" fontId="148" fillId="42" borderId="0" xfId="0" applyBorder="1" applyAlignment="1">
      <alignment vertical="center" wrapText="1"/>
    </xf>
    <xf numFmtId="0" fontId="148" fillId="40" borderId="0" xfId="0" applyBorder="1" applyAlignment="1">
      <alignment vertical="center" wrapText="1"/>
    </xf>
    <xf numFmtId="0" fontId="29" fillId="40" borderId="0" xfId="0" applyBorder="1" applyAlignment="1">
      <alignment vertical="center" wrapText="1"/>
    </xf>
    <xf numFmtId="0" fontId="29" fillId="11" borderId="0" xfId="0" applyBorder="1" applyAlignment="1">
      <alignment vertical="center" wrapText="1"/>
    </xf>
    <xf numFmtId="0" fontId="29" fillId="0" borderId="0" xfId="0" applyBorder="1" applyAlignment="1">
      <alignment vertical="center" wrapText="1"/>
    </xf>
    <xf numFmtId="0" fontId="29" fillId="42" borderId="0" xfId="0" applyBorder="1" applyAlignment="1">
      <alignment vertical="center" wrapText="1"/>
    </xf>
    <xf numFmtId="0" fontId="145" fillId="0" borderId="0" xfId="0" applyFill="1" applyBorder="1" applyAlignment="1">
      <alignment horizontal="center" vertical="center"/>
    </xf>
    <xf numFmtId="0" fontId="162" fillId="40" borderId="11" xfId="0" applyBorder="1" applyAlignment="1">
      <alignment vertical="center" wrapText="1"/>
    </xf>
    <xf numFmtId="0" fontId="57" fillId="0" borderId="0" xfId="0" applyBorder="1" applyAlignment="1">
      <alignment vertical="center" wrapText="1"/>
    </xf>
    <xf numFmtId="0" fontId="57" fillId="42" borderId="0" xfId="0" applyBorder="1" applyAlignment="1">
      <alignment vertical="center" wrapText="1"/>
    </xf>
    <xf numFmtId="0" fontId="148" fillId="40" borderId="11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42" borderId="0" xfId="0" applyBorder="1" applyAlignment="1">
      <alignment vertical="center" wrapText="1"/>
    </xf>
    <xf numFmtId="0" fontId="29" fillId="40" borderId="11" xfId="0" applyBorder="1" applyAlignment="1">
      <alignment vertical="center" wrapText="1"/>
    </xf>
    <xf numFmtId="0" fontId="24" fillId="42" borderId="0" xfId="0" applyBorder="1" applyAlignment="1">
      <alignment vertical="center" wrapText="1"/>
    </xf>
    <xf numFmtId="43" fontId="33" fillId="40" borderId="20" xfId="0" applyBorder="1" applyAlignment="1">
      <alignment vertical="center"/>
    </xf>
    <xf numFmtId="43" fontId="33" fillId="42" borderId="20" xfId="0" applyBorder="1" applyAlignment="1">
      <alignment vertical="center"/>
    </xf>
    <xf numFmtId="43" fontId="45" fillId="40" borderId="20" xfId="0" applyBorder="1" applyAlignment="1">
      <alignment vertical="center"/>
    </xf>
    <xf numFmtId="43" fontId="133" fillId="43" borderId="20" xfId="0" applyBorder="1" applyAlignment="1">
      <alignment horizontal="right" vertical="center"/>
    </xf>
    <xf numFmtId="43" fontId="133" fillId="40" borderId="20" xfId="0" applyBorder="1" applyAlignment="1">
      <alignment horizontal="right" vertical="center"/>
    </xf>
    <xf numFmtId="43" fontId="45" fillId="43" borderId="20" xfId="0" applyBorder="1" applyAlignment="1">
      <alignment vertical="center"/>
    </xf>
    <xf numFmtId="43" fontId="51" fillId="40" borderId="20" xfId="0" applyBorder="1" applyAlignment="1">
      <alignment vertical="center"/>
    </xf>
    <xf numFmtId="43" fontId="51" fillId="43" borderId="20" xfId="0" applyBorder="1" applyAlignment="1">
      <alignment vertical="center"/>
    </xf>
    <xf numFmtId="43" fontId="51" fillId="42" borderId="20" xfId="0" applyBorder="1">
      <alignment vertical="center"/>
    </xf>
    <xf numFmtId="43" fontId="45" fillId="40" borderId="0" xfId="0" applyBorder="1">
      <alignment vertical="center"/>
    </xf>
    <xf numFmtId="43" fontId="45" fillId="42" borderId="0" xfId="0" applyBorder="1">
      <alignment vertical="center"/>
    </xf>
    <xf numFmtId="43" fontId="45" fillId="43" borderId="0" xfId="0" applyBorder="1">
      <alignment vertical="center"/>
    </xf>
    <xf numFmtId="0" fontId="45" fillId="40" borderId="11" xfId="0" applyBorder="1" applyAlignment="1">
      <alignment horizontal="center" vertical="center"/>
    </xf>
    <xf numFmtId="43" fontId="145" fillId="0" borderId="0" xfId="0" applyFill="1">
      <alignment vertical="center"/>
    </xf>
    <xf numFmtId="43" fontId="144" fillId="0" borderId="0" xfId="0" applyFill="1">
      <alignment vertical="center"/>
    </xf>
    <xf numFmtId="0" fontId="145" fillId="0" borderId="0" xfId="0" applyFill="1" applyAlignment="1">
      <alignment horizontal="center" vertical="center"/>
    </xf>
    <xf numFmtId="43" fontId="133" fillId="40" borderId="20" xfId="0" applyBorder="1" applyAlignment="1">
      <alignment vertical="center"/>
    </xf>
    <xf numFmtId="0" fontId="51" fillId="40" borderId="0" xfId="0" applyBorder="1" applyAlignment="1">
      <alignment horizontal="center" vertical="center"/>
    </xf>
    <xf numFmtId="43" fontId="133" fillId="42" borderId="20" xfId="0" applyBorder="1" applyAlignment="1">
      <alignment vertical="center"/>
    </xf>
    <xf numFmtId="0" fontId="51" fillId="42" borderId="0" xfId="0" applyBorder="1" applyAlignment="1">
      <alignment horizontal="center" vertical="center"/>
    </xf>
    <xf numFmtId="43" fontId="51" fillId="43" borderId="20" xfId="0" applyBorder="1">
      <alignment vertical="center"/>
    </xf>
    <xf numFmtId="43" fontId="51" fillId="40" borderId="20" xfId="0" applyBorder="1">
      <alignment vertical="center"/>
    </xf>
    <xf numFmtId="0" fontId="51" fillId="40" borderId="11" xfId="0" applyBorder="1" applyAlignment="1">
      <alignment horizontal="center" vertical="center"/>
    </xf>
    <xf numFmtId="43" fontId="51" fillId="40" borderId="0" xfId="0" applyBorder="1">
      <alignment vertical="center"/>
    </xf>
    <xf numFmtId="43" fontId="51" fillId="42" borderId="0" xfId="0" applyBorder="1">
      <alignment vertical="center"/>
    </xf>
    <xf numFmtId="43" fontId="51" fillId="43" borderId="0" xfId="0" applyBorder="1">
      <alignment vertical="center"/>
    </xf>
    <xf numFmtId="43" fontId="143" fillId="0" borderId="38" xfId="0" applyNumberFormat="1" applyBorder="1" applyAlignment="1">
      <alignment horizontal="left" vertical="center"/>
    </xf>
    <xf numFmtId="43" fontId="143" fillId="0" borderId="0" xfId="0" applyFill="1">
      <alignment vertical="center"/>
    </xf>
    <xf numFmtId="43" fontId="45" fillId="11" borderId="20" xfId="0" applyBorder="1" applyAlignment="1">
      <alignment vertical="center"/>
    </xf>
    <xf numFmtId="43" fontId="45" fillId="0" borderId="21" xfId="0" applyBorder="1" applyAlignment="1">
      <alignment horizontal="left" vertical="center"/>
    </xf>
    <xf numFmtId="43" fontId="51" fillId="11" borderId="20" xfId="0" applyBorder="1">
      <alignment vertical="center"/>
    </xf>
    <xf numFmtId="43" fontId="51" fillId="37" borderId="20" xfId="0" applyBorder="1" applyAlignment="1">
      <alignment vertical="center"/>
    </xf>
    <xf numFmtId="43" fontId="51" fillId="37" borderId="20" xfId="0" applyBorder="1">
      <alignment vertical="center"/>
    </xf>
    <xf numFmtId="43" fontId="133" fillId="43" borderId="20" xfId="0" applyBorder="1" applyAlignment="1">
      <alignment vertical="center"/>
    </xf>
    <xf numFmtId="0" fontId="51" fillId="0" borderId="20" xfId="0" applyFill="1" applyBorder="1" applyAlignment="1">
      <alignment horizontal="center" vertical="center"/>
    </xf>
    <xf numFmtId="0" fontId="61" fillId="0" borderId="18" xfId="0" applyNumberFormat="1" applyFill="1" applyBorder="1" applyAlignment="1">
      <alignment horizontal="right" vertical="center"/>
    </xf>
    <xf numFmtId="0" fontId="145" fillId="0" borderId="18" xfId="0" applyFill="1" applyBorder="1" applyAlignment="1">
      <alignment horizontal="center" vertical="center"/>
    </xf>
    <xf numFmtId="0" fontId="29" fillId="0" borderId="0" xfId="0" applyFill="1" applyBorder="1" applyAlignment="1">
      <alignment vertical="center" wrapText="1"/>
    </xf>
    <xf numFmtId="0" fontId="29" fillId="0" borderId="11" xfId="0" applyFill="1" applyBorder="1" applyAlignment="1">
      <alignment vertical="center" wrapText="1"/>
    </xf>
    <xf numFmtId="0" fontId="61" fillId="0" borderId="18" xfId="0" applyFill="1" applyBorder="1" applyAlignment="1">
      <alignment horizontal="center" vertical="center"/>
    </xf>
    <xf numFmtId="0" fontId="23" fillId="0" borderId="0" xfId="0" applyFill="1" applyBorder="1" applyAlignment="1">
      <alignment horizontal="left" vertical="center"/>
    </xf>
    <xf numFmtId="0" fontId="61" fillId="0" borderId="18" xfId="0" applyFill="1" applyBorder="1" applyAlignment="1">
      <alignment horizontal="left" vertical="center"/>
    </xf>
    <xf numFmtId="43" fontId="51" fillId="0" borderId="20" xfId="0" applyFill="1" applyBorder="1" applyAlignment="1">
      <alignment vertical="center"/>
    </xf>
    <xf numFmtId="43" fontId="51" fillId="0" borderId="20" xfId="0" applyFill="1" applyBorder="1">
      <alignment vertical="center"/>
    </xf>
    <xf numFmtId="43" fontId="133" fillId="0" borderId="20" xfId="0" applyFill="1" applyBorder="1" applyAlignment="1">
      <alignment vertical="center"/>
    </xf>
    <xf numFmtId="43" fontId="133" fillId="0" borderId="20" xfId="0" applyFill="1" applyBorder="1" applyAlignment="1">
      <alignment horizontal="right" vertical="center"/>
    </xf>
    <xf numFmtId="66" fontId="23" fillId="0" borderId="0" xfId="0" applyFill="1" applyBorder="1" applyAlignment="1">
      <alignment vertical="center"/>
    </xf>
    <xf numFmtId="66" fontId="22" fillId="0" borderId="19" xfId="0" applyFill="1" applyBorder="1" applyAlignment="1">
      <alignment horizontal="center" vertical="center"/>
    </xf>
    <xf numFmtId="43" fontId="51" fillId="0" borderId="21" xfId="0" applyFill="1" applyBorder="1" applyAlignment="1">
      <alignment horizontal="left" vertical="center"/>
    </xf>
    <xf numFmtId="43" fontId="143" fillId="0" borderId="38" xfId="0" applyNumberFormat="1" applyFill="1" applyBorder="1" applyAlignment="1">
      <alignment horizontal="left" vertical="center"/>
    </xf>
    <xf numFmtId="43" fontId="133" fillId="0" borderId="0" xfId="0" applyFill="1" applyBorder="1" applyAlignment="1">
      <alignment vertical="center"/>
    </xf>
    <xf numFmtId="43" fontId="51" fillId="0" borderId="0" xfId="0" applyFill="1" applyBorder="1" applyAlignment="1">
      <alignment vertical="center"/>
    </xf>
    <xf numFmtId="43" fontId="133" fillId="0" borderId="0" xfId="0" applyFill="1" applyBorder="1" applyAlignment="1">
      <alignment horizontal="right" vertical="center"/>
    </xf>
    <xf numFmtId="0" fontId="51" fillId="0" borderId="24" xfId="0" applyFill="1" applyBorder="1" applyAlignment="1">
      <alignment horizontal="center" vertical="center"/>
    </xf>
    <xf numFmtId="43" fontId="51" fillId="0" borderId="25" xfId="0" applyFill="1" applyBorder="1">
      <alignment vertical="center"/>
    </xf>
    <xf numFmtId="0" fontId="51" fillId="0" borderId="25" xfId="0" applyFill="1" applyBorder="1" applyAlignment="1">
      <alignment horizontal="center" vertical="center"/>
    </xf>
    <xf numFmtId="43" fontId="51" fillId="0" borderId="26" xfId="0" applyFill="1" applyBorder="1" applyAlignment="1">
      <alignment horizontal="left" vertical="center"/>
    </xf>
    <xf numFmtId="0" fontId="29" fillId="0" borderId="25" xfId="0" applyFill="1" applyBorder="1" applyAlignment="1">
      <alignment vertical="center" wrapText="1"/>
    </xf>
    <xf numFmtId="43" fontId="133" fillId="0" borderId="25" xfId="0" applyFill="1" applyBorder="1" applyAlignment="1">
      <alignment vertical="center"/>
    </xf>
    <xf numFmtId="0" fontId="24" fillId="0" borderId="24" xfId="0" applyFill="1" applyBorder="1">
      <alignment vertical="center"/>
    </xf>
    <xf numFmtId="0" fontId="145" fillId="0" borderId="25" xfId="0" applyFill="1" applyBorder="1" applyAlignment="1">
      <alignment horizontal="center" vertical="center"/>
    </xf>
    <xf numFmtId="43" fontId="143" fillId="0" borderId="43" xfId="0" applyNumberFormat="1" applyFill="1" applyBorder="1" applyAlignment="1">
      <alignment horizontal="left" vertical="center"/>
    </xf>
    <xf numFmtId="0" fontId="24" fillId="0" borderId="20" xfId="0" applyFill="1" applyBorder="1">
      <alignment vertical="center"/>
    </xf>
    <xf numFmtId="0" fontId="145" fillId="0" borderId="25" xfId="0" applyFill="1" applyBorder="1" applyAlignment="1">
      <alignment horizontal="left" vertical="center"/>
    </xf>
    <xf numFmtId="43" fontId="143" fillId="0" borderId="26" xfId="0" applyFill="1" applyBorder="1">
      <alignment vertical="center"/>
    </xf>
    <xf numFmtId="0" fontId="145" fillId="0" borderId="0" xfId="0" applyFill="1">
      <alignment vertical="center"/>
    </xf>
    <xf numFmtId="0" fontId="145" fillId="0" borderId="0" xfId="0" applyFill="1" applyBorder="1" applyAlignment="1">
      <alignment horizontal="right" vertical="center"/>
    </xf>
  </cellXfs>
  <cellStyles count="49">
    <cellStyle name="20% - Accent1" xfId="25" builtinId="30"/>
    <cellStyle name="20% - Accent2" xfId="29" builtinId="34"/>
    <cellStyle name="20% - Accent3" xfId="33" builtinId="38"/>
    <cellStyle name="20% - Accent4" xfId="37" builtinId="42"/>
    <cellStyle name="20% - Accent5" xfId="41" builtinId="46"/>
    <cellStyle name="20% - Accent6" xfId="45" builtinId="50"/>
    <cellStyle name="40% - Accent1" xfId="26" builtinId="31"/>
    <cellStyle name="40% - Accent2" xfId="30" builtinId="35"/>
    <cellStyle name="40% - Accent3" xfId="34" builtinId="39"/>
    <cellStyle name="40% - Accent4" xfId="38" builtinId="43"/>
    <cellStyle name="40% - Accent5" xfId="42" builtinId="47"/>
    <cellStyle name="40% - Accent6" xfId="46" builtinId="51"/>
    <cellStyle name="60% - Accent1" xfId="27" builtinId="32"/>
    <cellStyle name="60% - Accent2" xfId="31" builtinId="36"/>
    <cellStyle name="60% - Accent3" xfId="35" builtinId="40"/>
    <cellStyle name="60% - Accent4" xfId="39" builtinId="44"/>
    <cellStyle name="60% - Accent5" xfId="43" builtinId="48"/>
    <cellStyle name="60% - Accent6" xfId="47" builtinId="52"/>
    <cellStyle name="Accent1" xfId="24" builtinId="29"/>
    <cellStyle name="Accent2" xfId="28" builtinId="33"/>
    <cellStyle name="Accent3" xfId="32" builtinId="37"/>
    <cellStyle name="Accent4" xfId="36" builtinId="41"/>
    <cellStyle name="Accent5" xfId="40" builtinId="45"/>
    <cellStyle name="Accent6" xfId="44" builtinId="49"/>
    <cellStyle name="Bad" xfId="22" builtinId="27"/>
    <cellStyle name="Calculation" xfId="17" builtinId="22"/>
    <cellStyle name="Check Cell" xfId="18" builtinId="23"/>
    <cellStyle name="Comma" xfId="1" builtinId="3"/>
    <cellStyle name="Comma [0]" xfId="4" builtinId="6"/>
    <cellStyle name="Currency" xfId="2" builtinId="4"/>
    <cellStyle name="Currency [0]" xfId="5" builtinId="7"/>
    <cellStyle name="Explanatory Text" xfId="48" builtinId="53"/>
    <cellStyle name="Followed Hyperlink" xfId="7" builtinId="9" hidden="1"/>
    <cellStyle name="Good" xfId="21" builtinId="26"/>
    <cellStyle name="Heading 1" xfId="11" builtinId="16"/>
    <cellStyle name="Heading 2" xfId="12" builtinId="17"/>
    <cellStyle name="Heading 3" xfId="13" builtinId="18"/>
    <cellStyle name="Heading 4" xfId="14" builtinId="19"/>
    <cellStyle name="Hyperlink" xfId="6" builtinId="8" hidden="1"/>
    <cellStyle name="Input" xfId="15" builtinId="20"/>
    <cellStyle name="Linked Cell" xfId="19" builtinId="24"/>
    <cellStyle name="Neutral" xfId="23" builtinId="28"/>
    <cellStyle name="Normal" xfId="0" builtinId="0"/>
    <cellStyle name="Note" xfId="8" builtinId="10"/>
    <cellStyle name="Output" xfId="16" builtinId="21"/>
    <cellStyle name="Percent" xfId="3" builtinId="5"/>
    <cellStyle name="Title" xfId="10" builtinId="15"/>
    <cellStyle name="Total" xfId="20" builtinId="25"/>
    <cellStyle name="Warning Text" xfId="9" builtinId="1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theme" Target="theme/theme1.xml"></Relationship><Relationship Id="rId4" Type="http://schemas.openxmlformats.org/officeDocument/2006/relationships/styles" Target="styles.xml"></Relationship><Relationship Id="rId5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image" Target="../media/OImage-17501791270.png"></Relationship></Relationships>
</file>

<file path=xl/drawings/_rels/drawing2.xml.rels><?xml version="1.0" encoding="UTF-8"?>
<Relationships xmlns="http://schemas.openxmlformats.org/package/2006/relationships"><Relationship Id="rId1" Type="http://schemas.openxmlformats.org/officeDocument/2006/relationships/image" Target="../media/OImage-17501791270.png"></Relationship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290830</xdr:colOff>
      <xdr:row>0</xdr:row>
      <xdr:rowOff>0</xdr:rowOff>
    </xdr:from>
    <xdr:to>
      <xdr:col>5</xdr:col>
      <xdr:colOff>782320</xdr:colOff>
      <xdr:row>5</xdr:row>
      <xdr:rowOff>111125</xdr:rowOff>
    </xdr:to>
    <xdr:pic>
      <xdr:nvPicPr>
        <xdr:cNvPr id="48" name="Picture 48" descr="xl/media/OImage13986431290.png"/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10800000" flipH="1" flipV="1">
          <a:off x="4966335" y="0"/>
          <a:ext cx="901065" cy="1111250"/>
        </a:xfrm>
        <a:prstGeom prst="rect"/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293370</xdr:colOff>
      <xdr:row>0</xdr:row>
      <xdr:rowOff>0</xdr:rowOff>
    </xdr:from>
    <xdr:to>
      <xdr:col>5</xdr:col>
      <xdr:colOff>784860</xdr:colOff>
      <xdr:row>5</xdr:row>
      <xdr:rowOff>122555</xdr:rowOff>
    </xdr:to>
    <xdr:pic>
      <xdr:nvPicPr>
        <xdr:cNvPr id="1" name="Picture 1" descr="xl/media/OImage-17501791270.png"/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68875" y="0"/>
          <a:ext cx="901065" cy="1122680"/>
        </a:xfrm>
        <a:prstGeom prst="rect"/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hyperlink" Target="Tel:(+213)&#160;552067807-Email:cloud.pi.dz@gmail.com" TargetMode="External"></Relationship><Relationship Id="rId2" Type="http://schemas.openxmlformats.org/officeDocument/2006/relationships/drawing" Target="../drawings/drawing1.xm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hyperlink" Target="Tel:(+213)&#160;552067807-Email:cloud.pi.dz@gmail.com" TargetMode="External"></Relationship><Relationship Id="rId2" Type="http://schemas.openxmlformats.org/officeDocument/2006/relationships/drawing" Target="../drawings/drawing2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tabSelected="1" zoomScale="97" workbookViewId="0">
      <selection activeCell="H6" sqref="H6"/>
    </sheetView>
  </sheetViews>
  <sheetFormatPr defaultRowHeight="15.000000"/>
  <cols>
    <col min="1" max="1" style="268" width="5.00499998" customWidth="1" outlineLevel="0"/>
    <col min="2" max="2" style="269" width="41.29071317" customWidth="1" outlineLevel="0"/>
    <col min="3" max="3" style="269" width="10.86214243" customWidth="1" outlineLevel="0"/>
    <col min="4" max="4" style="270" width="13.43357168" customWidth="1" outlineLevel="0"/>
    <col min="5" max="5" style="270" width="6.14785705" customWidth="1" outlineLevel="0"/>
    <col min="6" max="6" style="271" width="16.57642828" customWidth="1" outlineLevel="0"/>
    <col min="7" max="16384" style="269" width="9.14785753" customWidth="1" outlineLevel="0"/>
  </cols>
  <sheetData>
    <row r="1" spans="1:7" ht="18.750000">
      <c r="A1" s="340"/>
      <c r="B1" s="515" t="s">
        <v>1535</v>
      </c>
      <c r="C1" s="341"/>
      <c r="D1" s="342"/>
      <c r="E1" s="342"/>
      <c r="F1" s="343"/>
    </row>
    <row r="2" spans="1:7">
      <c r="A2" s="274"/>
      <c r="B2" s="54" t="s">
        <v>1534</v>
      </c>
      <c r="C2" s="54"/>
      <c r="D2" s="53"/>
      <c r="E2" s="53"/>
      <c r="F2" s="297"/>
    </row>
    <row r="3" spans="1:7">
      <c r="A3" s="274"/>
      <c r="B3" s="54" t="s">
        <v>1558</v>
      </c>
      <c r="C3" s="54"/>
      <c r="D3" s="53"/>
      <c r="E3" s="53"/>
      <c r="F3" s="297"/>
    </row>
    <row r="4" spans="1:7">
      <c r="A4" s="274"/>
      <c r="B4" s="54" t="s">
        <v>1712</v>
      </c>
      <c r="C4" s="54" t="s">
        <v>1726</v>
      </c>
      <c r="D4" s="53"/>
      <c r="E4" s="53"/>
      <c r="F4" s="297"/>
    </row>
    <row r="5" spans="1:7">
      <c r="A5" s="274"/>
      <c r="B5" s="54" t="s">
        <v>1715</v>
      </c>
      <c r="C5" s="54" t="s">
        <v>1727</v>
      </c>
      <c r="D5" s="53"/>
      <c r="E5" s="53"/>
      <c r="F5" s="297"/>
    </row>
    <row r="6" spans="1:7">
      <c r="A6" s="274"/>
      <c r="B6" s="54" t="s">
        <v>1773</v>
      </c>
      <c r="C6" s="54"/>
      <c r="D6" s="53"/>
      <c r="E6" s="53"/>
      <c r="F6" s="297"/>
    </row>
    <row r="7" spans="1:7" ht="15.750000">
      <c r="A7" s="273"/>
      <c r="B7" s="695" t="s">
        <v>1213</v>
      </c>
      <c r="C7" s="699" t="s">
        <v>1845</v>
      </c>
      <c r="D7" s="701" t="s">
        <v>1210</v>
      </c>
      <c r="E7" s="701"/>
      <c r="F7" s="296"/>
    </row>
    <row r="8" spans="1:7">
      <c r="A8" s="610" t="s">
        <v>1756</v>
      </c>
      <c r="B8" s="375"/>
      <c r="C8" s="446"/>
      <c r="D8" s="53" t="s">
        <v>1893</v>
      </c>
      <c r="E8" s="557" t="s">
        <v>1892</v>
      </c>
      <c r="F8" s="297"/>
    </row>
    <row r="9" spans="1:7">
      <c r="A9" s="610" t="s">
        <v>1851</v>
      </c>
      <c r="B9" s="54"/>
      <c r="C9" s="54"/>
      <c r="D9" s="53"/>
      <c r="E9" s="396"/>
      <c r="F9" s="447"/>
    </row>
    <row r="10" spans="1:7">
      <c r="A10" s="610" t="s">
        <v>1847</v>
      </c>
      <c r="B10" s="143"/>
      <c r="C10" s="456"/>
      <c r="D10" s="53"/>
      <c r="E10" s="53"/>
      <c r="F10" s="297"/>
    </row>
    <row r="11" spans="1:7" ht="14.650000" customHeight="1">
      <c r="A11" s="614" t="s">
        <v>1849</v>
      </c>
      <c r="B11" s="442"/>
      <c r="C11" s="457"/>
      <c r="D11" s="291"/>
      <c r="E11" s="291"/>
      <c r="F11" s="298"/>
    </row>
    <row r="12" spans="1:7" ht="9.950000" customHeight="1">
      <c r="F12" s="295"/>
    </row>
    <row r="13" spans="1:7" ht="15.200000" customHeight="1">
      <c r="A13" s="278"/>
      <c r="B13" s="414" t="s">
        <v>1855</v>
      </c>
      <c r="C13" s="700" t="str">
        <f>C7</f>
        <v>2025-0009</v>
      </c>
      <c r="D13" s="700"/>
      <c r="E13" s="52"/>
      <c r="F13" s="706"/>
      <c r="G13" s="434"/>
    </row>
    <row r="14" spans="1:7">
      <c r="A14" s="285" t="s">
        <v>0</v>
      </c>
      <c r="B14" s="696" t="s">
        <v>1</v>
      </c>
      <c r="C14" s="285" t="s">
        <v>1896</v>
      </c>
      <c r="D14" s="292" t="s">
        <v>35</v>
      </c>
      <c r="E14" s="292" t="s">
        <v>39</v>
      </c>
      <c r="F14" s="707" t="s">
        <v>40</v>
      </c>
      <c r="G14" s="434"/>
    </row>
    <row r="15" spans="1:7" ht="15.750000" customHeight="1">
      <c r="A15" s="694">
        <v>1</v>
      </c>
      <c r="B15" s="697" t="s">
        <v>1843</v>
      </c>
      <c r="C15" s="600" t="s">
        <v>38</v>
      </c>
      <c r="D15" s="711">
        <v>200000</v>
      </c>
      <c r="E15" s="359">
        <v>1</v>
      </c>
      <c r="F15" s="708">
        <f>D15*E15</f>
        <v>200000</v>
      </c>
      <c r="G15" s="434"/>
    </row>
    <row r="16" spans="1:7" ht="16.000000" customHeight="1">
      <c r="A16" s="694">
        <f>A15+1</f>
        <v>2</v>
      </c>
      <c r="B16" s="697" t="s">
        <v>1844</v>
      </c>
      <c r="C16" s="600" t="s">
        <v>38</v>
      </c>
      <c r="D16" s="427">
        <v>280000</v>
      </c>
      <c r="E16" s="359">
        <v>1</v>
      </c>
      <c r="F16" s="708">
        <f>D16*E16</f>
        <v>280000</v>
      </c>
      <c r="G16" s="434"/>
    </row>
    <row r="17" spans="1:7" ht="43.950000" customHeight="1">
      <c r="A17" s="694">
        <f>A16+1</f>
        <v>3</v>
      </c>
      <c r="B17" s="697" t="s">
        <v>1818</v>
      </c>
      <c r="C17" s="600" t="s">
        <v>38</v>
      </c>
      <c r="D17" s="711">
        <v>120000</v>
      </c>
      <c r="E17" s="359">
        <v>1</v>
      </c>
      <c r="F17" s="708">
        <f>D17*E17</f>
        <v>120000</v>
      </c>
      <c r="G17" s="434"/>
    </row>
    <row r="18" spans="1:7" ht="82.050000" customHeight="1">
      <c r="A18" s="694">
        <f>A17+1</f>
        <v>4</v>
      </c>
      <c r="B18" s="697" t="s">
        <v>1819</v>
      </c>
      <c r="C18" s="600" t="s">
        <v>38</v>
      </c>
      <c r="D18" s="427">
        <v>8000</v>
      </c>
      <c r="E18" s="359">
        <v>1</v>
      </c>
      <c r="F18" s="708">
        <f>D18*E18</f>
        <v>8000</v>
      </c>
      <c r="G18" s="434"/>
    </row>
    <row r="19" spans="1:7" ht="29.100000" customHeight="1">
      <c r="A19" s="694">
        <f>A18+1</f>
        <v>5</v>
      </c>
      <c r="B19" s="697" t="s">
        <v>1820</v>
      </c>
      <c r="C19" s="600" t="s">
        <v>38</v>
      </c>
      <c r="D19" s="711">
        <v>30000</v>
      </c>
      <c r="E19" s="359">
        <v>1</v>
      </c>
      <c r="F19" s="708">
        <f>D19*E19</f>
        <v>30000</v>
      </c>
      <c r="G19" s="434"/>
    </row>
    <row r="20" spans="1:7">
      <c r="A20" s="694">
        <f>A19+1</f>
        <v>6</v>
      </c>
      <c r="B20" s="697" t="s">
        <v>1821</v>
      </c>
      <c r="C20" s="600" t="s">
        <v>38</v>
      </c>
      <c r="D20" s="427">
        <v>90000</v>
      </c>
      <c r="E20" s="359">
        <v>1</v>
      </c>
      <c r="F20" s="708">
        <f>D20*E20</f>
        <v>90000</v>
      </c>
      <c r="G20" s="434"/>
    </row>
    <row r="21" spans="1:7">
      <c r="A21" s="694">
        <f>A20+1</f>
        <v>7</v>
      </c>
      <c r="B21" s="697" t="s">
        <v>1822</v>
      </c>
      <c r="C21" s="600" t="s">
        <v>38</v>
      </c>
      <c r="D21" s="427">
        <v>1000</v>
      </c>
      <c r="E21" s="359">
        <v>10</v>
      </c>
      <c r="F21" s="708">
        <f>D21*E21</f>
        <v>10000</v>
      </c>
      <c r="G21" s="434"/>
    </row>
    <row r="22" spans="1:7">
      <c r="A22" s="694">
        <f>A21+1</f>
        <v>8</v>
      </c>
      <c r="B22" s="697" t="s">
        <v>1823</v>
      </c>
      <c r="C22" s="600" t="s">
        <v>38</v>
      </c>
      <c r="D22" s="427">
        <v>30000</v>
      </c>
      <c r="E22" s="359">
        <v>2</v>
      </c>
      <c r="F22" s="708">
        <f>D22*E22</f>
        <v>60000</v>
      </c>
      <c r="G22" s="434"/>
    </row>
    <row r="23" spans="1:7">
      <c r="A23" s="694">
        <f>A22+1</f>
        <v>9</v>
      </c>
      <c r="B23" s="697" t="s">
        <v>1824</v>
      </c>
      <c r="C23" s="600" t="s">
        <v>38</v>
      </c>
      <c r="D23" s="427">
        <v>30000</v>
      </c>
      <c r="E23" s="359">
        <v>1</v>
      </c>
      <c r="F23" s="708">
        <f>D23*E23</f>
        <v>30000</v>
      </c>
      <c r="G23" s="434"/>
    </row>
    <row r="24" spans="1:7">
      <c r="A24" s="694">
        <f>A23+1</f>
        <v>10</v>
      </c>
      <c r="B24" s="697" t="s">
        <v>1825</v>
      </c>
      <c r="C24" s="600" t="s">
        <v>38</v>
      </c>
      <c r="D24" s="427">
        <v>40000</v>
      </c>
      <c r="E24" s="359">
        <v>1</v>
      </c>
      <c r="F24" s="708">
        <f>D24*E24</f>
        <v>40000</v>
      </c>
      <c r="G24" s="434"/>
    </row>
    <row r="25" spans="1:7" ht="14.800000" customHeight="1">
      <c r="A25" s="694">
        <f>A24+1</f>
        <v>11</v>
      </c>
      <c r="B25" s="697" t="s">
        <v>1826</v>
      </c>
      <c r="C25" s="600" t="s">
        <v>38</v>
      </c>
      <c r="D25" s="427">
        <v>1000</v>
      </c>
      <c r="E25" s="359">
        <v>3</v>
      </c>
      <c r="F25" s="708">
        <f>D25*E25</f>
        <v>3000</v>
      </c>
      <c r="G25" s="434"/>
    </row>
    <row r="26" spans="1:7" ht="16.300000" customHeight="1">
      <c r="A26" s="694">
        <f>A25+1</f>
        <v>12</v>
      </c>
      <c r="B26" s="697" t="s">
        <v>1827</v>
      </c>
      <c r="C26" s="600" t="s">
        <v>38</v>
      </c>
      <c r="D26" s="427">
        <v>100</v>
      </c>
      <c r="E26" s="359">
        <v>2000</v>
      </c>
      <c r="F26" s="708">
        <f>D26*E26</f>
        <v>200000</v>
      </c>
      <c r="G26" s="434"/>
    </row>
    <row r="27" spans="1:7">
      <c r="A27" s="694">
        <f>A26+1</f>
        <v>13</v>
      </c>
      <c r="B27" s="697" t="s">
        <v>1828</v>
      </c>
      <c r="C27" s="600" t="s">
        <v>38</v>
      </c>
      <c r="D27" s="427">
        <v>20000</v>
      </c>
      <c r="E27" s="359">
        <v>2</v>
      </c>
      <c r="F27" s="708">
        <f>D27*E27</f>
        <v>40000</v>
      </c>
    </row>
    <row r="28" spans="1:7">
      <c r="A28" s="694">
        <f>A27+1</f>
        <v>14</v>
      </c>
      <c r="B28" s="697" t="s">
        <v>1829</v>
      </c>
      <c r="C28" s="600" t="s">
        <v>38</v>
      </c>
      <c r="D28" s="427">
        <v>1000</v>
      </c>
      <c r="E28" s="359">
        <v>20</v>
      </c>
      <c r="F28" s="708">
        <f>D28*E28</f>
        <v>20000</v>
      </c>
    </row>
    <row r="29" spans="1:7">
      <c r="A29" s="694">
        <f>A28+1</f>
        <v>15</v>
      </c>
      <c r="B29" s="697" t="s">
        <v>1830</v>
      </c>
      <c r="C29" s="600" t="s">
        <v>38</v>
      </c>
      <c r="D29" s="427">
        <v>10000</v>
      </c>
      <c r="E29" s="359">
        <v>2</v>
      </c>
      <c r="F29" s="708">
        <f>D29*E29</f>
        <v>20000</v>
      </c>
    </row>
    <row r="30" spans="1:7">
      <c r="A30" s="694">
        <f>A29+1</f>
        <v>16</v>
      </c>
      <c r="B30" s="697" t="s">
        <v>1831</v>
      </c>
      <c r="C30" s="600" t="s">
        <v>38</v>
      </c>
      <c r="D30" s="427">
        <v>30000</v>
      </c>
      <c r="E30" s="359">
        <v>1</v>
      </c>
      <c r="F30" s="708">
        <f>D30*E30</f>
        <v>30000</v>
      </c>
    </row>
    <row r="31" spans="1:7">
      <c r="A31" s="694">
        <f>A30+1</f>
        <v>17</v>
      </c>
      <c r="B31" s="697" t="s">
        <v>1832</v>
      </c>
      <c r="C31" s="600" t="s">
        <v>38</v>
      </c>
      <c r="D31" s="427">
        <v>20000</v>
      </c>
      <c r="E31" s="359">
        <v>3</v>
      </c>
      <c r="F31" s="708">
        <f>D31*E31</f>
        <v>60000</v>
      </c>
    </row>
    <row r="32" spans="1:7">
      <c r="A32" s="694">
        <f>A31+1</f>
        <v>18</v>
      </c>
      <c r="B32" s="697" t="s">
        <v>1833</v>
      </c>
      <c r="C32" s="600" t="s">
        <v>38</v>
      </c>
      <c r="D32" s="427">
        <v>25000</v>
      </c>
      <c r="E32" s="359">
        <v>5</v>
      </c>
      <c r="F32" s="708">
        <f>D32*E32</f>
        <v>125000</v>
      </c>
    </row>
    <row r="33" spans="1:6">
      <c r="A33" s="694">
        <f>A32+1</f>
        <v>19</v>
      </c>
      <c r="B33" s="697" t="s">
        <v>1834</v>
      </c>
      <c r="C33" s="600" t="s">
        <v>38</v>
      </c>
      <c r="D33" s="427">
        <v>30000</v>
      </c>
      <c r="E33" s="359">
        <v>1</v>
      </c>
      <c r="F33" s="708">
        <f>D33*E33</f>
        <v>30000</v>
      </c>
    </row>
    <row r="34" spans="1:6">
      <c r="A34" s="694">
        <f>A33+1</f>
        <v>20</v>
      </c>
      <c r="B34" s="697" t="s">
        <v>1835</v>
      </c>
      <c r="C34" s="600" t="s">
        <v>38</v>
      </c>
      <c r="D34" s="427">
        <v>40000</v>
      </c>
      <c r="E34" s="359">
        <v>1</v>
      </c>
      <c r="F34" s="708">
        <f>D34*E34</f>
        <v>40000</v>
      </c>
    </row>
    <row r="35" spans="1:6">
      <c r="A35" s="694">
        <f>A34+1</f>
        <v>21</v>
      </c>
      <c r="B35" s="697" t="s">
        <v>1836</v>
      </c>
      <c r="C35" s="600" t="s">
        <v>38</v>
      </c>
      <c r="D35" s="427">
        <v>10000</v>
      </c>
      <c r="E35" s="359">
        <v>1</v>
      </c>
      <c r="F35" s="708">
        <f>D35*E35</f>
        <v>10000</v>
      </c>
    </row>
    <row r="36" spans="1:6" ht="25.500000">
      <c r="A36" s="694">
        <f>A35+1</f>
        <v>22</v>
      </c>
      <c r="B36" s="697" t="s">
        <v>1837</v>
      </c>
      <c r="C36" s="600" t="s">
        <v>38</v>
      </c>
      <c r="D36" s="427">
        <v>200</v>
      </c>
      <c r="E36" s="359">
        <v>100</v>
      </c>
      <c r="F36" s="708">
        <f>D36*E36</f>
        <v>20000</v>
      </c>
    </row>
    <row r="37" spans="1:6">
      <c r="A37" s="694">
        <f>A36+1</f>
        <v>23</v>
      </c>
      <c r="B37" s="697" t="s">
        <v>1838</v>
      </c>
      <c r="C37" s="600" t="s">
        <v>38</v>
      </c>
      <c r="D37" s="427">
        <v>15000</v>
      </c>
      <c r="E37" s="359">
        <v>4</v>
      </c>
      <c r="F37" s="708">
        <f>D37*E37</f>
        <v>60000</v>
      </c>
    </row>
    <row r="38" spans="1:6">
      <c r="A38" s="694">
        <f>A37+1</f>
        <v>24</v>
      </c>
      <c r="B38" s="697" t="s">
        <v>1839</v>
      </c>
      <c r="C38" s="600" t="s">
        <v>38</v>
      </c>
      <c r="D38" s="710">
        <v>15000</v>
      </c>
      <c r="E38" s="359">
        <v>4</v>
      </c>
      <c r="F38" s="708">
        <f>D38*E38</f>
        <v>60000</v>
      </c>
    </row>
    <row r="39" spans="1:6" ht="15.750000">
      <c r="A39" s="713">
        <f>A38+1</f>
        <v>25</v>
      </c>
      <c r="B39" s="717" t="s">
        <v>1840</v>
      </c>
      <c r="C39" s="602" t="s">
        <v>38</v>
      </c>
      <c r="D39" s="718">
        <v>15000</v>
      </c>
      <c r="E39" s="715">
        <v>4</v>
      </c>
      <c r="F39" s="716">
        <f>D39*E39</f>
        <v>60000</v>
      </c>
    </row>
    <row r="40" spans="1:6" ht="15.750000">
      <c r="A40" s="272"/>
      <c r="B40" s="54"/>
      <c r="C40" s="719"/>
      <c r="D40" s="720" t="s">
        <v>36</v>
      </c>
      <c r="E40" s="291"/>
      <c r="F40" s="721">
        <f>SUM(F15:F39)</f>
        <v>1646000</v>
      </c>
    </row>
    <row r="41" spans="1:6">
      <c r="A41" s="272"/>
      <c r="B41" s="414" t="s">
        <v>1853</v>
      </c>
      <c r="C41" s="700" t="str">
        <f>C7</f>
        <v>2025-0009</v>
      </c>
      <c r="D41" s="53"/>
      <c r="E41" s="53"/>
      <c r="F41" s="295"/>
    </row>
    <row r="42" spans="1:6">
      <c r="B42" s="268" t="s">
        <v>1856</v>
      </c>
      <c r="C42" s="357">
        <f>F40</f>
        <v>1646000</v>
      </c>
    </row>
    <row r="43" spans="1:6">
      <c r="A43" s="285" t="s">
        <v>0</v>
      </c>
      <c r="B43" s="696" t="s">
        <v>1</v>
      </c>
      <c r="C43" s="285" t="s">
        <v>1896</v>
      </c>
      <c r="D43" s="292" t="s">
        <v>35</v>
      </c>
      <c r="E43" s="292" t="s">
        <v>39</v>
      </c>
      <c r="F43" s="707" t="s">
        <v>40</v>
      </c>
    </row>
    <row r="44" spans="1:6">
      <c r="A44" s="694">
        <v>26</v>
      </c>
      <c r="B44" s="697" t="s">
        <v>1857</v>
      </c>
      <c r="C44" s="600" t="s">
        <v>38</v>
      </c>
      <c r="D44" s="710">
        <v>10000</v>
      </c>
      <c r="E44" s="359">
        <v>4</v>
      </c>
      <c r="F44" s="708">
        <f>D44*E44</f>
        <v>40000</v>
      </c>
    </row>
    <row r="45" spans="1:6">
      <c r="A45" s="694">
        <f>A44+1</f>
        <v>27</v>
      </c>
      <c r="B45" s="697" t="s">
        <v>1858</v>
      </c>
      <c r="C45" s="600" t="s">
        <v>38</v>
      </c>
      <c r="D45" s="710">
        <v>3000</v>
      </c>
      <c r="E45" s="359">
        <v>15</v>
      </c>
      <c r="F45" s="708">
        <f>D45*E45</f>
        <v>45000</v>
      </c>
    </row>
    <row r="46" spans="1:6">
      <c r="A46" s="694">
        <f>A45+1</f>
        <v>28</v>
      </c>
      <c r="B46" s="697" t="s">
        <v>1859</v>
      </c>
      <c r="C46" s="600" t="s">
        <v>38</v>
      </c>
      <c r="D46" s="710">
        <v>50000</v>
      </c>
      <c r="E46" s="359">
        <v>2</v>
      </c>
      <c r="F46" s="708">
        <f>D46*E46</f>
        <v>100000</v>
      </c>
    </row>
    <row r="47" spans="1:6">
      <c r="A47" s="694">
        <f>A46+1</f>
        <v>29</v>
      </c>
      <c r="B47" s="697" t="s">
        <v>1860</v>
      </c>
      <c r="C47" s="600" t="s">
        <v>38</v>
      </c>
      <c r="D47" s="427">
        <v>1400</v>
      </c>
      <c r="E47" s="359">
        <v>2</v>
      </c>
      <c r="F47" s="708">
        <f>D47*E47</f>
        <v>2800</v>
      </c>
    </row>
    <row r="48" spans="1:6">
      <c r="A48" s="694">
        <f>A47+1</f>
        <v>30</v>
      </c>
      <c r="B48" s="697" t="s">
        <v>1861</v>
      </c>
      <c r="C48" s="600" t="s">
        <v>38</v>
      </c>
      <c r="D48" s="427">
        <v>30000</v>
      </c>
      <c r="E48" s="359">
        <v>2</v>
      </c>
      <c r="F48" s="708">
        <f>D48*E48</f>
        <v>60000</v>
      </c>
    </row>
    <row r="49" spans="1:6">
      <c r="A49" s="694">
        <f>A48+1</f>
        <v>31</v>
      </c>
      <c r="B49" s="697" t="s">
        <v>1862</v>
      </c>
      <c r="C49" s="600" t="s">
        <v>38</v>
      </c>
      <c r="D49" s="427">
        <v>6000</v>
      </c>
      <c r="E49" s="359">
        <v>1</v>
      </c>
      <c r="F49" s="708">
        <f>D49*E49</f>
        <v>6000</v>
      </c>
    </row>
    <row r="50" spans="1:6">
      <c r="A50" s="694">
        <f>A49+1</f>
        <v>32</v>
      </c>
      <c r="B50" s="697" t="s">
        <v>1863</v>
      </c>
      <c r="C50" s="600" t="s">
        <v>38</v>
      </c>
      <c r="D50" s="427">
        <v>800</v>
      </c>
      <c r="E50" s="359">
        <v>10</v>
      </c>
      <c r="F50" s="708">
        <f>D50*E50</f>
        <v>8000</v>
      </c>
    </row>
    <row r="51" spans="1:6">
      <c r="A51" s="694">
        <f>A50+1</f>
        <v>33</v>
      </c>
      <c r="B51" s="697" t="s">
        <v>1864</v>
      </c>
      <c r="C51" s="600" t="s">
        <v>38</v>
      </c>
      <c r="D51" s="427">
        <v>40000</v>
      </c>
      <c r="E51" s="359">
        <v>2</v>
      </c>
      <c r="F51" s="708">
        <f>D51*E51</f>
        <v>80000</v>
      </c>
    </row>
    <row r="52" spans="1:6">
      <c r="A52" s="694">
        <f>A51+1</f>
        <v>34</v>
      </c>
      <c r="B52" s="697" t="s">
        <v>1865</v>
      </c>
      <c r="C52" s="600" t="s">
        <v>38</v>
      </c>
      <c r="D52" s="711">
        <v>80000</v>
      </c>
      <c r="E52" s="359">
        <v>1</v>
      </c>
      <c r="F52" s="708">
        <f>D52*E52</f>
        <v>80000</v>
      </c>
    </row>
    <row r="53" spans="1:6">
      <c r="A53" s="694">
        <f>A52+1</f>
        <v>35</v>
      </c>
      <c r="B53" s="697" t="s">
        <v>1866</v>
      </c>
      <c r="C53" s="600" t="s">
        <v>38</v>
      </c>
      <c r="D53" s="712">
        <v>3000</v>
      </c>
      <c r="E53" s="359">
        <v>8</v>
      </c>
      <c r="F53" s="708">
        <f>D53*E53</f>
        <v>24000</v>
      </c>
    </row>
    <row r="54" spans="1:6">
      <c r="A54" s="694">
        <f>A53+1</f>
        <v>36</v>
      </c>
      <c r="B54" s="697" t="s">
        <v>1867</v>
      </c>
      <c r="C54" s="600" t="s">
        <v>38</v>
      </c>
      <c r="D54" s="712">
        <v>8000</v>
      </c>
      <c r="E54" s="359">
        <v>8</v>
      </c>
      <c r="F54" s="708">
        <f>D54*E54</f>
        <v>64000</v>
      </c>
    </row>
    <row r="55" spans="1:6">
      <c r="A55" s="694">
        <f>A54+1</f>
        <v>37</v>
      </c>
      <c r="B55" s="697" t="s">
        <v>1868</v>
      </c>
      <c r="C55" s="600" t="s">
        <v>38</v>
      </c>
      <c r="D55" s="427">
        <v>10000</v>
      </c>
      <c r="E55" s="359">
        <v>10</v>
      </c>
      <c r="F55" s="708">
        <f>D55*E55</f>
        <v>100000</v>
      </c>
    </row>
    <row r="56" spans="1:6">
      <c r="A56" s="694">
        <f>A55+1</f>
        <v>38</v>
      </c>
      <c r="B56" s="697" t="s">
        <v>1869</v>
      </c>
      <c r="C56" s="600" t="s">
        <v>38</v>
      </c>
      <c r="D56" s="427">
        <v>30000</v>
      </c>
      <c r="E56" s="359">
        <v>1</v>
      </c>
      <c r="F56" s="708">
        <f>D56*E56</f>
        <v>30000</v>
      </c>
    </row>
    <row r="57" spans="1:6">
      <c r="A57" s="694">
        <f>A56+1</f>
        <v>39</v>
      </c>
      <c r="B57" s="697" t="s">
        <v>1870</v>
      </c>
      <c r="C57" s="600" t="s">
        <v>38</v>
      </c>
      <c r="D57" s="427">
        <v>9000</v>
      </c>
      <c r="E57" s="359">
        <v>1</v>
      </c>
      <c r="F57" s="708">
        <f>D57*E57</f>
        <v>9000</v>
      </c>
    </row>
    <row r="58" spans="1:6">
      <c r="A58" s="694">
        <f>A57+1</f>
        <v>40</v>
      </c>
      <c r="B58" s="697" t="s">
        <v>1871</v>
      </c>
      <c r="C58" s="600" t="s">
        <v>38</v>
      </c>
      <c r="D58" s="711">
        <v>200</v>
      </c>
      <c r="E58" s="359">
        <v>100</v>
      </c>
      <c r="F58" s="708">
        <f>D58*E58</f>
        <v>20000</v>
      </c>
    </row>
    <row r="59" spans="1:6">
      <c r="A59" s="694">
        <f>A58+1</f>
        <v>41</v>
      </c>
      <c r="B59" s="697" t="s">
        <v>1872</v>
      </c>
      <c r="C59" s="600" t="s">
        <v>38</v>
      </c>
      <c r="D59" s="711">
        <v>40000</v>
      </c>
      <c r="E59" s="359">
        <v>1</v>
      </c>
      <c r="F59" s="708">
        <f>D59*E59</f>
        <v>40000</v>
      </c>
    </row>
    <row r="60" spans="1:6" ht="25.500000">
      <c r="A60" s="694">
        <f>A59+1</f>
        <v>42</v>
      </c>
      <c r="B60" s="697" t="s">
        <v>1873</v>
      </c>
      <c r="C60" s="600" t="s">
        <v>38</v>
      </c>
      <c r="D60" s="711">
        <v>40000</v>
      </c>
      <c r="E60" s="359">
        <v>1</v>
      </c>
      <c r="F60" s="708">
        <f>D60*E60</f>
        <v>40000</v>
      </c>
    </row>
    <row r="61" spans="1:6">
      <c r="A61" s="694">
        <f>A60+1</f>
        <v>43</v>
      </c>
      <c r="B61" s="697" t="s">
        <v>1874</v>
      </c>
      <c r="C61" s="600" t="s">
        <v>38</v>
      </c>
      <c r="D61" s="711">
        <v>10000</v>
      </c>
      <c r="E61" s="359">
        <v>2</v>
      </c>
      <c r="F61" s="708">
        <f>D61*E61</f>
        <v>20000</v>
      </c>
    </row>
    <row r="62" spans="1:6">
      <c r="A62" s="694">
        <f>A61+1</f>
        <v>44</v>
      </c>
      <c r="B62" s="697" t="s">
        <v>1875</v>
      </c>
      <c r="C62" s="600" t="s">
        <v>38</v>
      </c>
      <c r="D62" s="711">
        <v>50000</v>
      </c>
      <c r="E62" s="359">
        <v>1</v>
      </c>
      <c r="F62" s="708">
        <f>D62*E62</f>
        <v>50000</v>
      </c>
    </row>
    <row r="63" spans="1:6">
      <c r="A63" s="694">
        <f>A62+1</f>
        <v>45</v>
      </c>
      <c r="B63" s="697" t="s">
        <v>1876</v>
      </c>
      <c r="C63" s="600" t="s">
        <v>38</v>
      </c>
      <c r="D63" s="427">
        <v>20000</v>
      </c>
      <c r="E63" s="359">
        <v>1</v>
      </c>
      <c r="F63" s="708">
        <f>D63*E63</f>
        <v>20000</v>
      </c>
    </row>
    <row r="64" spans="1:6">
      <c r="A64" s="694">
        <f>A63+1</f>
        <v>46</v>
      </c>
      <c r="B64" s="697" t="s">
        <v>1877</v>
      </c>
      <c r="C64" s="600" t="s">
        <v>38</v>
      </c>
      <c r="D64" s="427">
        <v>60000</v>
      </c>
      <c r="E64" s="359">
        <v>2</v>
      </c>
      <c r="F64" s="708">
        <f>D64*E64</f>
        <v>120000</v>
      </c>
    </row>
    <row r="65" spans="1:6">
      <c r="A65" s="694">
        <f>A64+1</f>
        <v>47</v>
      </c>
      <c r="B65" s="697" t="s">
        <v>1878</v>
      </c>
      <c r="C65" s="600" t="s">
        <v>38</v>
      </c>
      <c r="D65" s="427">
        <v>30000</v>
      </c>
      <c r="E65" s="359">
        <v>1</v>
      </c>
      <c r="F65" s="708">
        <f>D65*E65</f>
        <v>30000</v>
      </c>
    </row>
    <row r="66" spans="1:6">
      <c r="A66" s="694">
        <f>A65+1</f>
        <v>48</v>
      </c>
      <c r="B66" s="697" t="s">
        <v>1879</v>
      </c>
      <c r="C66" s="600" t="s">
        <v>38</v>
      </c>
      <c r="D66" s="427">
        <v>4000</v>
      </c>
      <c r="E66" s="359">
        <v>3</v>
      </c>
      <c r="F66" s="708">
        <f>D66*E66</f>
        <v>12000</v>
      </c>
    </row>
    <row r="67" spans="1:6">
      <c r="A67" s="694">
        <f>A66+1</f>
        <v>49</v>
      </c>
      <c r="B67" s="697" t="s">
        <v>1880</v>
      </c>
      <c r="C67" s="600" t="s">
        <v>38</v>
      </c>
      <c r="D67" s="427">
        <v>20000</v>
      </c>
      <c r="E67" s="359">
        <v>1</v>
      </c>
      <c r="F67" s="708">
        <f>D67*E67</f>
        <v>20000</v>
      </c>
    </row>
    <row r="68" spans="1:6">
      <c r="A68" s="694">
        <f>A67+1</f>
        <v>50</v>
      </c>
      <c r="B68" s="697" t="s">
        <v>1881</v>
      </c>
      <c r="C68" s="600" t="s">
        <v>38</v>
      </c>
      <c r="D68" s="427">
        <v>30</v>
      </c>
      <c r="E68" s="359">
        <v>100</v>
      </c>
      <c r="F68" s="708">
        <f>D68*E68</f>
        <v>3000</v>
      </c>
    </row>
    <row r="69" spans="1:6">
      <c r="A69" s="694">
        <f>A68+1</f>
        <v>51</v>
      </c>
      <c r="B69" s="697" t="s">
        <v>1882</v>
      </c>
      <c r="C69" s="600" t="s">
        <v>38</v>
      </c>
      <c r="D69" s="427">
        <v>50</v>
      </c>
      <c r="E69" s="359">
        <v>100</v>
      </c>
      <c r="F69" s="708">
        <f>D69*E69</f>
        <v>5000</v>
      </c>
    </row>
    <row r="70" spans="1:6">
      <c r="A70" s="694">
        <f>A69+1</f>
        <v>52</v>
      </c>
      <c r="B70" s="697" t="s">
        <v>1883</v>
      </c>
      <c r="C70" s="600" t="s">
        <v>38</v>
      </c>
      <c r="D70" s="427">
        <v>100</v>
      </c>
      <c r="E70" s="359">
        <v>100</v>
      </c>
      <c r="F70" s="708">
        <f>D70*E70</f>
        <v>10000</v>
      </c>
    </row>
    <row r="71" spans="1:6">
      <c r="A71" s="694">
        <f>A70+1</f>
        <v>53</v>
      </c>
      <c r="B71" s="697" t="s">
        <v>1884</v>
      </c>
      <c r="C71" s="600" t="s">
        <v>38</v>
      </c>
      <c r="D71" s="427">
        <v>3000</v>
      </c>
      <c r="E71" s="359">
        <v>3</v>
      </c>
      <c r="F71" s="708">
        <f>D71*E71</f>
        <v>9000</v>
      </c>
    </row>
    <row r="72" spans="1:6">
      <c r="A72" s="694">
        <f>A71+1</f>
        <v>54</v>
      </c>
      <c r="B72" s="143" t="s">
        <v>1885</v>
      </c>
      <c r="C72" s="600" t="s">
        <v>38</v>
      </c>
      <c r="D72" s="427">
        <v>80</v>
      </c>
      <c r="E72" s="359">
        <v>300</v>
      </c>
      <c r="F72" s="708">
        <f>D72*E72</f>
        <v>24000</v>
      </c>
    </row>
    <row r="73" spans="1:6">
      <c r="A73" s="694">
        <f>A72+1</f>
        <v>55</v>
      </c>
      <c r="B73" s="143" t="s">
        <v>1886</v>
      </c>
      <c r="C73" s="600" t="s">
        <v>38</v>
      </c>
      <c r="D73" s="427">
        <v>100</v>
      </c>
      <c r="E73" s="359">
        <v>500</v>
      </c>
      <c r="F73" s="708">
        <f>D73*E73</f>
        <v>50000</v>
      </c>
    </row>
    <row r="74" spans="1:6" ht="15.750000">
      <c r="A74" s="713">
        <f>A73+1</f>
        <v>56</v>
      </c>
      <c r="B74" s="442" t="s">
        <v>1887</v>
      </c>
      <c r="C74" s="602" t="s">
        <v>38</v>
      </c>
      <c r="D74" s="714">
        <v>100</v>
      </c>
      <c r="E74" s="715">
        <v>250</v>
      </c>
      <c r="F74" s="716">
        <f>D74*E74</f>
        <v>25000</v>
      </c>
    </row>
    <row r="75" spans="1:6">
      <c r="C75" s="722"/>
      <c r="D75" s="557" t="s">
        <v>1888</v>
      </c>
      <c r="E75" s="53"/>
      <c r="F75" s="709">
        <f>SUM(F44:F74)+F40</f>
        <v>2792800</v>
      </c>
    </row>
    <row r="76" spans="1:6">
      <c r="C76" s="722"/>
      <c r="D76" s="557" t="s">
        <v>1202</v>
      </c>
      <c r="E76" s="53"/>
      <c r="F76" s="177"/>
    </row>
    <row r="77" spans="1:6" ht="15.750000">
      <c r="C77" s="719"/>
      <c r="D77" s="723" t="s">
        <v>1889</v>
      </c>
      <c r="E77" s="291"/>
      <c r="F77" s="724">
        <f>F75</f>
        <v>2792800</v>
      </c>
    </row>
    <row r="78" spans="1:6">
      <c r="B78" s="725" t="s">
        <v>1204</v>
      </c>
    </row>
    <row r="79" spans="1:6">
      <c r="B79" s="269" t="s">
        <v>1895</v>
      </c>
    </row>
  </sheetData>
  <phoneticPr fontId="1" type="noConversion"/>
  <hyperlinks>
    <hyperlink r:id="rId1" ref="B3"/>
  </hyperlinks>
  <pageMargins left="0.70" right="0.70" top="0.75" bottom="0.75" header="0.30" footer="0.3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3"/>
  <sheetViews>
    <sheetView topLeftCell="A36" workbookViewId="0">
      <selection activeCell="G43" sqref="G43"/>
    </sheetView>
  </sheetViews>
  <sheetFormatPr defaultRowHeight="15.000000"/>
  <cols>
    <col min="1" max="1" style="268" width="5.00499998" customWidth="1" outlineLevel="0"/>
    <col min="2" max="2" style="269" width="41.29071317" customWidth="1" outlineLevel="0"/>
    <col min="3" max="3" style="269" width="10.86214243" customWidth="1" outlineLevel="0"/>
    <col min="4" max="4" style="270" width="13.43357168" customWidth="1" outlineLevel="0"/>
    <col min="5" max="5" style="270" width="6.14785705" customWidth="1" outlineLevel="0"/>
    <col min="6" max="6" style="271" width="16.57642828" customWidth="1" outlineLevel="0"/>
    <col min="7" max="16384" style="269" width="9.14785753" customWidth="1" outlineLevel="0"/>
  </cols>
  <sheetData>
    <row r="1" spans="1:7" ht="18.750000">
      <c r="A1" s="340"/>
      <c r="B1" s="515" t="s">
        <v>1535</v>
      </c>
      <c r="C1" s="341"/>
      <c r="D1" s="342"/>
      <c r="E1" s="342"/>
      <c r="F1" s="343"/>
    </row>
    <row r="2" spans="1:7">
      <c r="A2" s="274"/>
      <c r="B2" s="54" t="s">
        <v>1534</v>
      </c>
      <c r="C2" s="54"/>
      <c r="D2" s="53"/>
      <c r="E2" s="53"/>
      <c r="F2" s="297"/>
    </row>
    <row r="3" spans="1:7">
      <c r="A3" s="274"/>
      <c r="B3" s="54" t="s">
        <v>1558</v>
      </c>
      <c r="C3" s="54"/>
      <c r="D3" s="53"/>
      <c r="E3" s="53"/>
      <c r="F3" s="297"/>
    </row>
    <row r="4" spans="1:7">
      <c r="A4" s="274"/>
      <c r="B4" s="54" t="s">
        <v>1712</v>
      </c>
      <c r="C4" s="54" t="s">
        <v>1726</v>
      </c>
      <c r="D4" s="53"/>
      <c r="E4" s="53"/>
      <c r="F4" s="297"/>
    </row>
    <row r="5" spans="1:7">
      <c r="A5" s="274"/>
      <c r="B5" s="54" t="s">
        <v>1715</v>
      </c>
      <c r="C5" s="54" t="s">
        <v>1727</v>
      </c>
      <c r="D5" s="53"/>
      <c r="E5" s="53"/>
      <c r="F5" s="297"/>
    </row>
    <row r="6" spans="1:7">
      <c r="A6" s="274"/>
      <c r="B6" s="54" t="s">
        <v>1773</v>
      </c>
      <c r="C6" s="54"/>
      <c r="D6" s="53"/>
      <c r="E6" s="53"/>
      <c r="F6" s="297"/>
    </row>
    <row r="7" spans="1:7" ht="15.750000">
      <c r="A7" s="273"/>
      <c r="B7" s="695" t="s">
        <v>1775</v>
      </c>
      <c r="C7" s="699" t="s">
        <v>1845</v>
      </c>
      <c r="D7" s="701" t="s">
        <v>1210</v>
      </c>
      <c r="E7" s="701"/>
      <c r="F7" s="296"/>
    </row>
    <row r="8" spans="1:7">
      <c r="A8" s="610" t="s">
        <v>1756</v>
      </c>
      <c r="B8" s="375"/>
      <c r="C8" s="446"/>
      <c r="D8" s="53" t="s">
        <v>1893</v>
      </c>
      <c r="E8" s="557" t="s">
        <v>1892</v>
      </c>
      <c r="F8" s="297"/>
    </row>
    <row r="9" spans="1:7">
      <c r="A9" s="610" t="s">
        <v>1851</v>
      </c>
      <c r="B9" s="54"/>
      <c r="C9" s="54"/>
      <c r="D9" s="53"/>
      <c r="E9" s="396"/>
      <c r="F9" s="447"/>
    </row>
    <row r="10" spans="1:7">
      <c r="A10" s="610" t="s">
        <v>1847</v>
      </c>
      <c r="B10" s="143"/>
      <c r="C10" s="456"/>
      <c r="D10" s="53"/>
      <c r="E10" s="53"/>
      <c r="F10" s="297"/>
    </row>
    <row r="11" spans="1:7" ht="14.650000" customHeight="1">
      <c r="A11" s="614" t="s">
        <v>1849</v>
      </c>
      <c r="B11" s="442"/>
      <c r="C11" s="457"/>
      <c r="D11" s="291"/>
      <c r="E11" s="291"/>
      <c r="F11" s="298"/>
    </row>
    <row r="12" spans="1:7" ht="24.350000" customHeight="1">
      <c r="F12" s="295"/>
    </row>
    <row r="13" spans="1:7" ht="15.200000" customHeight="1">
      <c r="A13" s="278"/>
      <c r="B13" s="726" t="s">
        <v>1898</v>
      </c>
      <c r="C13" s="700" t="str">
        <f>C7</f>
        <v>2025-0009</v>
      </c>
      <c r="D13" s="700"/>
      <c r="E13" s="52"/>
      <c r="F13" s="706"/>
      <c r="G13" s="434"/>
    </row>
    <row r="14" spans="1:7">
      <c r="A14" s="285" t="s">
        <v>0</v>
      </c>
      <c r="B14" s="696" t="s">
        <v>1</v>
      </c>
      <c r="C14" s="285" t="s">
        <v>1896</v>
      </c>
      <c r="D14" s="292"/>
      <c r="E14" s="292" t="s">
        <v>39</v>
      </c>
      <c r="F14" s="707"/>
      <c r="G14" s="434"/>
    </row>
    <row r="15" spans="1:7" ht="15.750000" customHeight="1">
      <c r="A15" s="694">
        <v>1</v>
      </c>
      <c r="B15" s="697" t="s">
        <v>1843</v>
      </c>
      <c r="C15" s="600" t="s">
        <v>38</v>
      </c>
      <c r="D15" s="711"/>
      <c r="E15" s="359">
        <v>1</v>
      </c>
      <c r="F15" s="708"/>
      <c r="G15" s="434"/>
    </row>
    <row r="16" spans="1:7" ht="16.000000" customHeight="1">
      <c r="A16" s="694">
        <f>A15+1</f>
        <v>2</v>
      </c>
      <c r="B16" s="697" t="s">
        <v>1844</v>
      </c>
      <c r="C16" s="600" t="s">
        <v>38</v>
      </c>
      <c r="D16" s="427"/>
      <c r="E16" s="359">
        <v>1</v>
      </c>
      <c r="F16" s="708"/>
      <c r="G16" s="434"/>
    </row>
    <row r="17" spans="1:7" ht="43.950000" customHeight="1">
      <c r="A17" s="694">
        <f>A16+1</f>
        <v>3</v>
      </c>
      <c r="B17" s="697" t="s">
        <v>1818</v>
      </c>
      <c r="C17" s="600" t="s">
        <v>38</v>
      </c>
      <c r="D17" s="711"/>
      <c r="E17" s="359">
        <v>1</v>
      </c>
      <c r="F17" s="708"/>
      <c r="G17" s="434"/>
    </row>
    <row r="18" spans="1:7" ht="82.050000" customHeight="1">
      <c r="A18" s="694">
        <f>A17+1</f>
        <v>4</v>
      </c>
      <c r="B18" s="697" t="s">
        <v>1819</v>
      </c>
      <c r="C18" s="600" t="s">
        <v>38</v>
      </c>
      <c r="D18" s="427"/>
      <c r="E18" s="359">
        <v>1</v>
      </c>
      <c r="F18" s="708"/>
      <c r="G18" s="434"/>
    </row>
    <row r="19" spans="1:7" ht="29.100000" customHeight="1">
      <c r="A19" s="694">
        <f>A18+1</f>
        <v>5</v>
      </c>
      <c r="B19" s="697" t="s">
        <v>1820</v>
      </c>
      <c r="C19" s="600" t="s">
        <v>38</v>
      </c>
      <c r="D19" s="711"/>
      <c r="E19" s="359">
        <v>1</v>
      </c>
      <c r="F19" s="708"/>
      <c r="G19" s="434"/>
    </row>
    <row r="20" spans="1:7">
      <c r="A20" s="694">
        <f>A19+1</f>
        <v>6</v>
      </c>
      <c r="B20" s="697" t="s">
        <v>1821</v>
      </c>
      <c r="C20" s="600" t="s">
        <v>38</v>
      </c>
      <c r="D20" s="427"/>
      <c r="E20" s="359">
        <v>1</v>
      </c>
      <c r="F20" s="708"/>
      <c r="G20" s="434"/>
    </row>
    <row r="21" spans="1:7">
      <c r="A21" s="694">
        <f>A20+1</f>
        <v>7</v>
      </c>
      <c r="B21" s="697" t="s">
        <v>1822</v>
      </c>
      <c r="C21" s="600" t="s">
        <v>38</v>
      </c>
      <c r="D21" s="427"/>
      <c r="E21" s="359">
        <v>10</v>
      </c>
      <c r="F21" s="708"/>
      <c r="G21" s="434"/>
    </row>
    <row r="22" spans="1:7">
      <c r="A22" s="694">
        <f>A21+1</f>
        <v>8</v>
      </c>
      <c r="B22" s="697" t="s">
        <v>1823</v>
      </c>
      <c r="C22" s="600" t="s">
        <v>38</v>
      </c>
      <c r="D22" s="427"/>
      <c r="E22" s="359">
        <v>2</v>
      </c>
      <c r="F22" s="708"/>
      <c r="G22" s="434"/>
    </row>
    <row r="23" spans="1:7">
      <c r="A23" s="694">
        <f>A22+1</f>
        <v>9</v>
      </c>
      <c r="B23" s="697" t="s">
        <v>1824</v>
      </c>
      <c r="C23" s="600" t="s">
        <v>38</v>
      </c>
      <c r="D23" s="427"/>
      <c r="E23" s="359">
        <v>1</v>
      </c>
      <c r="F23" s="708"/>
      <c r="G23" s="434"/>
    </row>
    <row r="24" spans="1:7">
      <c r="A24" s="694">
        <f>A23+1</f>
        <v>10</v>
      </c>
      <c r="B24" s="697" t="s">
        <v>1825</v>
      </c>
      <c r="C24" s="600" t="s">
        <v>38</v>
      </c>
      <c r="D24" s="427"/>
      <c r="E24" s="359">
        <v>1</v>
      </c>
      <c r="F24" s="708"/>
      <c r="G24" s="434"/>
    </row>
    <row r="25" spans="1:7" ht="14.800000" customHeight="1">
      <c r="A25" s="694">
        <f>A24+1</f>
        <v>11</v>
      </c>
      <c r="B25" s="697" t="s">
        <v>1826</v>
      </c>
      <c r="C25" s="600" t="s">
        <v>38</v>
      </c>
      <c r="D25" s="427"/>
      <c r="E25" s="359">
        <v>3</v>
      </c>
      <c r="F25" s="708"/>
      <c r="G25" s="434"/>
    </row>
    <row r="26" spans="1:7" ht="16.300000" customHeight="1">
      <c r="A26" s="694">
        <f>A25+1</f>
        <v>12</v>
      </c>
      <c r="B26" s="697" t="s">
        <v>1827</v>
      </c>
      <c r="C26" s="600" t="s">
        <v>38</v>
      </c>
      <c r="D26" s="427"/>
      <c r="E26" s="359">
        <v>2000</v>
      </c>
      <c r="F26" s="708"/>
      <c r="G26" s="434"/>
    </row>
    <row r="27" spans="1:7">
      <c r="A27" s="694">
        <f>A26+1</f>
        <v>13</v>
      </c>
      <c r="B27" s="697" t="s">
        <v>1828</v>
      </c>
      <c r="C27" s="600" t="s">
        <v>38</v>
      </c>
      <c r="D27" s="427"/>
      <c r="E27" s="359">
        <v>2</v>
      </c>
      <c r="F27" s="708"/>
    </row>
    <row r="28" spans="1:7">
      <c r="A28" s="694">
        <f>A27+1</f>
        <v>14</v>
      </c>
      <c r="B28" s="697" t="s">
        <v>1829</v>
      </c>
      <c r="C28" s="600" t="s">
        <v>38</v>
      </c>
      <c r="D28" s="427"/>
      <c r="E28" s="359">
        <v>20</v>
      </c>
      <c r="F28" s="708"/>
    </row>
    <row r="29" spans="1:7">
      <c r="A29" s="694">
        <f>A28+1</f>
        <v>15</v>
      </c>
      <c r="B29" s="697" t="s">
        <v>1830</v>
      </c>
      <c r="C29" s="600" t="s">
        <v>38</v>
      </c>
      <c r="D29" s="427"/>
      <c r="E29" s="359">
        <v>2</v>
      </c>
      <c r="F29" s="708"/>
    </row>
    <row r="30" spans="1:7">
      <c r="A30" s="694">
        <f>A29+1</f>
        <v>16</v>
      </c>
      <c r="B30" s="697" t="s">
        <v>1831</v>
      </c>
      <c r="C30" s="600" t="s">
        <v>38</v>
      </c>
      <c r="D30" s="427"/>
      <c r="E30" s="359">
        <v>1</v>
      </c>
      <c r="F30" s="708"/>
    </row>
    <row r="31" spans="1:7">
      <c r="A31" s="694">
        <f>A30+1</f>
        <v>17</v>
      </c>
      <c r="B31" s="697" t="s">
        <v>1832</v>
      </c>
      <c r="C31" s="600" t="s">
        <v>38</v>
      </c>
      <c r="D31" s="427"/>
      <c r="E31" s="359">
        <v>3</v>
      </c>
      <c r="F31" s="708"/>
    </row>
    <row r="32" spans="1:7">
      <c r="A32" s="694">
        <f>A31+1</f>
        <v>18</v>
      </c>
      <c r="B32" s="697" t="s">
        <v>1833</v>
      </c>
      <c r="C32" s="600" t="s">
        <v>38</v>
      </c>
      <c r="D32" s="427"/>
      <c r="E32" s="359">
        <v>5</v>
      </c>
      <c r="F32" s="708"/>
    </row>
    <row r="33" spans="1:6">
      <c r="A33" s="694">
        <f>A32+1</f>
        <v>19</v>
      </c>
      <c r="B33" s="697" t="s">
        <v>1834</v>
      </c>
      <c r="C33" s="600" t="s">
        <v>38</v>
      </c>
      <c r="D33" s="427"/>
      <c r="E33" s="359">
        <v>1</v>
      </c>
      <c r="F33" s="708"/>
    </row>
    <row r="34" spans="1:6">
      <c r="A34" s="694">
        <f>A33+1</f>
        <v>20</v>
      </c>
      <c r="B34" s="697" t="s">
        <v>1835</v>
      </c>
      <c r="C34" s="600" t="s">
        <v>38</v>
      </c>
      <c r="D34" s="427"/>
      <c r="E34" s="359">
        <v>1</v>
      </c>
      <c r="F34" s="708"/>
    </row>
    <row r="35" spans="1:6">
      <c r="A35" s="694">
        <f>A34+1</f>
        <v>21</v>
      </c>
      <c r="B35" s="697" t="s">
        <v>1836</v>
      </c>
      <c r="C35" s="600" t="s">
        <v>38</v>
      </c>
      <c r="D35" s="427"/>
      <c r="E35" s="359">
        <v>1</v>
      </c>
      <c r="F35" s="708"/>
    </row>
    <row r="36" spans="1:6" ht="25.500000">
      <c r="A36" s="694">
        <f>A35+1</f>
        <v>22</v>
      </c>
      <c r="B36" s="697" t="s">
        <v>1837</v>
      </c>
      <c r="C36" s="600" t="s">
        <v>38</v>
      </c>
      <c r="D36" s="427"/>
      <c r="E36" s="359">
        <v>100</v>
      </c>
      <c r="F36" s="708"/>
    </row>
    <row r="37" spans="1:6">
      <c r="A37" s="694">
        <f>A36+1</f>
        <v>23</v>
      </c>
      <c r="B37" s="697" t="s">
        <v>1838</v>
      </c>
      <c r="C37" s="600" t="s">
        <v>38</v>
      </c>
      <c r="D37" s="427"/>
      <c r="E37" s="359">
        <v>4</v>
      </c>
      <c r="F37" s="708"/>
    </row>
    <row r="38" spans="1:6">
      <c r="A38" s="694">
        <f>A37+1</f>
        <v>24</v>
      </c>
      <c r="B38" s="697" t="s">
        <v>1839</v>
      </c>
      <c r="C38" s="600" t="s">
        <v>38</v>
      </c>
      <c r="D38" s="710"/>
      <c r="E38" s="359">
        <v>4</v>
      </c>
      <c r="F38" s="708"/>
    </row>
    <row r="39" spans="1:6" ht="15.750000">
      <c r="A39" s="713">
        <f>A38+1</f>
        <v>25</v>
      </c>
      <c r="B39" s="717" t="s">
        <v>1840</v>
      </c>
      <c r="C39" s="602" t="s">
        <v>38</v>
      </c>
      <c r="D39" s="718"/>
      <c r="E39" s="715">
        <v>4</v>
      </c>
      <c r="F39" s="716"/>
    </row>
    <row r="40" spans="1:6">
      <c r="A40" s="272"/>
      <c r="B40" s="414" t="s">
        <v>1900</v>
      </c>
      <c r="C40" s="700" t="str">
        <f>C7</f>
        <v>2025-0009</v>
      </c>
      <c r="D40" s="53"/>
      <c r="E40" s="53"/>
      <c r="F40" s="295"/>
    </row>
    <row r="41" spans="1:6">
      <c r="A41" s="285" t="s">
        <v>0</v>
      </c>
      <c r="B41" s="696" t="s">
        <v>1</v>
      </c>
      <c r="C41" s="285" t="s">
        <v>1896</v>
      </c>
      <c r="D41" s="292"/>
      <c r="E41" s="292" t="s">
        <v>39</v>
      </c>
      <c r="F41" s="707"/>
    </row>
    <row r="42" spans="1:6">
      <c r="A42" s="694">
        <v>26</v>
      </c>
      <c r="B42" s="697" t="s">
        <v>1857</v>
      </c>
      <c r="C42" s="600" t="s">
        <v>38</v>
      </c>
      <c r="D42" s="710"/>
      <c r="E42" s="359">
        <v>4</v>
      </c>
      <c r="F42" s="708"/>
    </row>
    <row r="43" spans="1:6">
      <c r="A43" s="694">
        <f>A42+1</f>
        <v>27</v>
      </c>
      <c r="B43" s="697" t="s">
        <v>1858</v>
      </c>
      <c r="C43" s="600" t="s">
        <v>38</v>
      </c>
      <c r="D43" s="710"/>
      <c r="E43" s="359">
        <v>15</v>
      </c>
      <c r="F43" s="708"/>
    </row>
    <row r="44" spans="1:6">
      <c r="A44" s="694">
        <f>A43+1</f>
        <v>28</v>
      </c>
      <c r="B44" s="697" t="s">
        <v>1859</v>
      </c>
      <c r="C44" s="600" t="s">
        <v>38</v>
      </c>
      <c r="D44" s="710"/>
      <c r="E44" s="359">
        <v>2</v>
      </c>
      <c r="F44" s="708"/>
    </row>
    <row r="45" spans="1:6">
      <c r="A45" s="694">
        <f>A44+1</f>
        <v>29</v>
      </c>
      <c r="B45" s="697" t="s">
        <v>1860</v>
      </c>
      <c r="C45" s="600" t="s">
        <v>38</v>
      </c>
      <c r="D45" s="427"/>
      <c r="E45" s="359">
        <v>2</v>
      </c>
      <c r="F45" s="708"/>
    </row>
    <row r="46" spans="1:6">
      <c r="A46" s="694">
        <f>A45+1</f>
        <v>30</v>
      </c>
      <c r="B46" s="697" t="s">
        <v>1861</v>
      </c>
      <c r="C46" s="600" t="s">
        <v>38</v>
      </c>
      <c r="D46" s="427"/>
      <c r="E46" s="359">
        <v>2</v>
      </c>
      <c r="F46" s="708"/>
    </row>
    <row r="47" spans="1:6">
      <c r="A47" s="694">
        <f>A46+1</f>
        <v>31</v>
      </c>
      <c r="B47" s="697" t="s">
        <v>1862</v>
      </c>
      <c r="C47" s="600" t="s">
        <v>38</v>
      </c>
      <c r="D47" s="427"/>
      <c r="E47" s="359">
        <v>1</v>
      </c>
      <c r="F47" s="708"/>
    </row>
    <row r="48" spans="1:6">
      <c r="A48" s="694">
        <f>A47+1</f>
        <v>32</v>
      </c>
      <c r="B48" s="697" t="s">
        <v>1863</v>
      </c>
      <c r="C48" s="600" t="s">
        <v>38</v>
      </c>
      <c r="D48" s="427"/>
      <c r="E48" s="359">
        <v>10</v>
      </c>
      <c r="F48" s="708"/>
    </row>
    <row r="49" spans="1:6">
      <c r="A49" s="694">
        <f>A48+1</f>
        <v>33</v>
      </c>
      <c r="B49" s="697" t="s">
        <v>1864</v>
      </c>
      <c r="C49" s="600" t="s">
        <v>38</v>
      </c>
      <c r="D49" s="427"/>
      <c r="E49" s="359">
        <v>2</v>
      </c>
      <c r="F49" s="708"/>
    </row>
    <row r="50" spans="1:6">
      <c r="A50" s="694">
        <f>A49+1</f>
        <v>34</v>
      </c>
      <c r="B50" s="697" t="s">
        <v>1865</v>
      </c>
      <c r="C50" s="600" t="s">
        <v>38</v>
      </c>
      <c r="D50" s="711"/>
      <c r="E50" s="359">
        <v>1</v>
      </c>
      <c r="F50" s="708"/>
    </row>
    <row r="51" spans="1:6">
      <c r="A51" s="694">
        <f>A50+1</f>
        <v>35</v>
      </c>
      <c r="B51" s="697" t="s">
        <v>1866</v>
      </c>
      <c r="C51" s="600" t="s">
        <v>38</v>
      </c>
      <c r="D51" s="712"/>
      <c r="E51" s="359">
        <v>8</v>
      </c>
      <c r="F51" s="708"/>
    </row>
    <row r="52" spans="1:6">
      <c r="A52" s="694">
        <f>A51+1</f>
        <v>36</v>
      </c>
      <c r="B52" s="697" t="s">
        <v>1867</v>
      </c>
      <c r="C52" s="600" t="s">
        <v>38</v>
      </c>
      <c r="D52" s="712"/>
      <c r="E52" s="359">
        <v>8</v>
      </c>
      <c r="F52" s="708"/>
    </row>
    <row r="53" spans="1:6">
      <c r="A53" s="694">
        <f>A52+1</f>
        <v>37</v>
      </c>
      <c r="B53" s="697" t="s">
        <v>1868</v>
      </c>
      <c r="C53" s="600" t="s">
        <v>38</v>
      </c>
      <c r="D53" s="427"/>
      <c r="E53" s="359">
        <v>10</v>
      </c>
      <c r="F53" s="708"/>
    </row>
    <row r="54" spans="1:6">
      <c r="A54" s="694">
        <f>A53+1</f>
        <v>38</v>
      </c>
      <c r="B54" s="697" t="s">
        <v>1869</v>
      </c>
      <c r="C54" s="600" t="s">
        <v>38</v>
      </c>
      <c r="D54" s="427"/>
      <c r="E54" s="359">
        <v>1</v>
      </c>
      <c r="F54" s="708"/>
    </row>
    <row r="55" spans="1:6">
      <c r="A55" s="694">
        <f>A54+1</f>
        <v>39</v>
      </c>
      <c r="B55" s="697" t="s">
        <v>1870</v>
      </c>
      <c r="C55" s="600" t="s">
        <v>38</v>
      </c>
      <c r="D55" s="427"/>
      <c r="E55" s="359">
        <v>1</v>
      </c>
      <c r="F55" s="708"/>
    </row>
    <row r="56" spans="1:6">
      <c r="A56" s="694">
        <f>A55+1</f>
        <v>40</v>
      </c>
      <c r="B56" s="697" t="s">
        <v>1871</v>
      </c>
      <c r="C56" s="600" t="s">
        <v>38</v>
      </c>
      <c r="D56" s="711"/>
      <c r="E56" s="359">
        <v>100</v>
      </c>
      <c r="F56" s="708"/>
    </row>
    <row r="57" spans="1:6">
      <c r="A57" s="694">
        <f>A56+1</f>
        <v>41</v>
      </c>
      <c r="B57" s="697" t="s">
        <v>1872</v>
      </c>
      <c r="C57" s="600" t="s">
        <v>38</v>
      </c>
      <c r="D57" s="711"/>
      <c r="E57" s="359">
        <v>1</v>
      </c>
      <c r="F57" s="708"/>
    </row>
    <row r="58" spans="1:6" ht="25.500000">
      <c r="A58" s="694">
        <f>A57+1</f>
        <v>42</v>
      </c>
      <c r="B58" s="697" t="s">
        <v>1873</v>
      </c>
      <c r="C58" s="600" t="s">
        <v>38</v>
      </c>
      <c r="D58" s="711"/>
      <c r="E58" s="359">
        <v>1</v>
      </c>
      <c r="F58" s="708"/>
    </row>
    <row r="59" spans="1:6">
      <c r="A59" s="694">
        <f>A58+1</f>
        <v>43</v>
      </c>
      <c r="B59" s="697" t="s">
        <v>1874</v>
      </c>
      <c r="C59" s="600" t="s">
        <v>38</v>
      </c>
      <c r="D59" s="711"/>
      <c r="E59" s="359">
        <v>2</v>
      </c>
      <c r="F59" s="708"/>
    </row>
    <row r="60" spans="1:6">
      <c r="A60" s="694">
        <f>A59+1</f>
        <v>44</v>
      </c>
      <c r="B60" s="697" t="s">
        <v>1875</v>
      </c>
      <c r="C60" s="600" t="s">
        <v>38</v>
      </c>
      <c r="D60" s="711"/>
      <c r="E60" s="359">
        <v>1</v>
      </c>
      <c r="F60" s="708"/>
    </row>
    <row r="61" spans="1:6">
      <c r="A61" s="694">
        <f>A60+1</f>
        <v>45</v>
      </c>
      <c r="B61" s="697" t="s">
        <v>1876</v>
      </c>
      <c r="C61" s="600" t="s">
        <v>38</v>
      </c>
      <c r="D61" s="427"/>
      <c r="E61" s="359">
        <v>1</v>
      </c>
      <c r="F61" s="708"/>
    </row>
    <row r="62" spans="1:6">
      <c r="A62" s="694">
        <f>A61+1</f>
        <v>46</v>
      </c>
      <c r="B62" s="697" t="s">
        <v>1877</v>
      </c>
      <c r="C62" s="600" t="s">
        <v>38</v>
      </c>
      <c r="D62" s="427"/>
      <c r="E62" s="359">
        <v>2</v>
      </c>
      <c r="F62" s="708"/>
    </row>
    <row r="63" spans="1:6">
      <c r="A63" s="694">
        <f>A62+1</f>
        <v>47</v>
      </c>
      <c r="B63" s="697" t="s">
        <v>1878</v>
      </c>
      <c r="C63" s="600" t="s">
        <v>38</v>
      </c>
      <c r="D63" s="427"/>
      <c r="E63" s="359">
        <v>1</v>
      </c>
      <c r="F63" s="708"/>
    </row>
    <row r="64" spans="1:6">
      <c r="A64" s="694">
        <f>A63+1</f>
        <v>48</v>
      </c>
      <c r="B64" s="697" t="s">
        <v>1879</v>
      </c>
      <c r="C64" s="600" t="s">
        <v>38</v>
      </c>
      <c r="D64" s="427"/>
      <c r="E64" s="359">
        <v>3</v>
      </c>
      <c r="F64" s="708"/>
    </row>
    <row r="65" spans="1:6">
      <c r="A65" s="694">
        <f>A64+1</f>
        <v>49</v>
      </c>
      <c r="B65" s="697" t="s">
        <v>1880</v>
      </c>
      <c r="C65" s="600" t="s">
        <v>38</v>
      </c>
      <c r="D65" s="427"/>
      <c r="E65" s="359">
        <v>1</v>
      </c>
      <c r="F65" s="708"/>
    </row>
    <row r="66" spans="1:6">
      <c r="A66" s="694">
        <f>A65+1</f>
        <v>50</v>
      </c>
      <c r="B66" s="697" t="s">
        <v>1881</v>
      </c>
      <c r="C66" s="600" t="s">
        <v>38</v>
      </c>
      <c r="D66" s="427"/>
      <c r="E66" s="359">
        <v>100</v>
      </c>
      <c r="F66" s="708"/>
    </row>
    <row r="67" spans="1:6">
      <c r="A67" s="694">
        <f>A66+1</f>
        <v>51</v>
      </c>
      <c r="B67" s="697" t="s">
        <v>1882</v>
      </c>
      <c r="C67" s="600" t="s">
        <v>38</v>
      </c>
      <c r="D67" s="427"/>
      <c r="E67" s="359">
        <v>100</v>
      </c>
      <c r="F67" s="708"/>
    </row>
    <row r="68" spans="1:6">
      <c r="A68" s="694">
        <f>A67+1</f>
        <v>52</v>
      </c>
      <c r="B68" s="697" t="s">
        <v>1883</v>
      </c>
      <c r="C68" s="600" t="s">
        <v>38</v>
      </c>
      <c r="D68" s="427"/>
      <c r="E68" s="359">
        <v>100</v>
      </c>
      <c r="F68" s="708"/>
    </row>
    <row r="69" spans="1:6">
      <c r="A69" s="694">
        <f>A68+1</f>
        <v>53</v>
      </c>
      <c r="B69" s="697" t="s">
        <v>1884</v>
      </c>
      <c r="C69" s="600" t="s">
        <v>38</v>
      </c>
      <c r="D69" s="427"/>
      <c r="E69" s="359">
        <v>3</v>
      </c>
      <c r="F69" s="708"/>
    </row>
    <row r="70" spans="1:6">
      <c r="A70" s="694">
        <f>A69+1</f>
        <v>54</v>
      </c>
      <c r="B70" s="143" t="s">
        <v>1885</v>
      </c>
      <c r="C70" s="600" t="s">
        <v>38</v>
      </c>
      <c r="D70" s="427"/>
      <c r="E70" s="359">
        <v>300</v>
      </c>
      <c r="F70" s="708"/>
    </row>
    <row r="71" spans="1:6">
      <c r="A71" s="694">
        <f>A70+1</f>
        <v>55</v>
      </c>
      <c r="B71" s="143" t="s">
        <v>1886</v>
      </c>
      <c r="C71" s="600" t="s">
        <v>38</v>
      </c>
      <c r="D71" s="427"/>
      <c r="E71" s="359">
        <v>500</v>
      </c>
      <c r="F71" s="708"/>
    </row>
    <row r="72" spans="1:6" ht="15.750000">
      <c r="A72" s="713">
        <f>A71+1</f>
        <v>56</v>
      </c>
      <c r="B72" s="442" t="s">
        <v>1887</v>
      </c>
      <c r="C72" s="602" t="s">
        <v>38</v>
      </c>
      <c r="D72" s="714"/>
      <c r="E72" s="715">
        <v>250</v>
      </c>
      <c r="F72" s="716"/>
    </row>
    <row r="73" spans="1:6">
      <c r="A73" s="268"/>
      <c r="B73" s="269"/>
      <c r="C73" s="269"/>
      <c r="D73" s="270"/>
      <c r="E73" s="270"/>
      <c r="F73" s="271"/>
    </row>
  </sheetData>
  <phoneticPr fontId="1" type="noConversion"/>
  <hyperlinks>
    <hyperlink r:id="rId1" ref="B3"/>
  </hyperlinks>
  <pageMargins left="0.70" right="0.70" top="0.75" bottom="0.75" header="0.30" footer="0.30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kheireddine abainia</dc:creator>
  <cp:lastModifiedBy>kheireddine abainia</cp:lastModifiedBy>
</cp:coreProperties>
</file>